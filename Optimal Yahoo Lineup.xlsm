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u\Documents\Fantasy files\"/>
    </mc:Choice>
  </mc:AlternateContent>
  <bookViews>
    <workbookView xWindow="0" yWindow="0" windowWidth="15530" windowHeight="7250"/>
  </bookViews>
  <sheets>
    <sheet name="Main" sheetId="7" r:id="rId1"/>
    <sheet name="OptimalLineup" sheetId="3" state="hidden" r:id="rId2"/>
    <sheet name="Data" sheetId="4" r:id="rId3"/>
    <sheet name="Solver" sheetId="6" r:id="rId4"/>
  </sheets>
  <definedNames>
    <definedName name="_xlnm._FilterDatabase" localSheetId="2" hidden="1">Data!#REF!</definedName>
    <definedName name="_xlnm._FilterDatabase" localSheetId="3" hidden="1">Solver!$A$1:$Q$200</definedName>
    <definedName name="allPositions">Solver!$W$2:$AC$2</definedName>
    <definedName name="currentSalary">Solver!$U$2</definedName>
    <definedName name="ExternalData_1" localSheetId="2">Data!#REF!</definedName>
    <definedName name="ExternalData_10" localSheetId="2">Data!#REF!</definedName>
    <definedName name="ExternalData_100" localSheetId="2">Data!#REF!</definedName>
    <definedName name="ExternalData_101" localSheetId="2">Data!#REF!</definedName>
    <definedName name="ExternalData_102" localSheetId="2">Data!#REF!</definedName>
    <definedName name="ExternalData_103" localSheetId="2">Data!#REF!</definedName>
    <definedName name="ExternalData_104" localSheetId="2">Data!#REF!</definedName>
    <definedName name="ExternalData_105" localSheetId="2">Data!#REF!</definedName>
    <definedName name="ExternalData_106" localSheetId="2">Data!#REF!</definedName>
    <definedName name="ExternalData_107" localSheetId="2">Data!#REF!</definedName>
    <definedName name="ExternalData_108" localSheetId="2">Data!#REF!</definedName>
    <definedName name="ExternalData_109" localSheetId="2">Data!#REF!</definedName>
    <definedName name="ExternalData_11" localSheetId="2">Data!#REF!</definedName>
    <definedName name="ExternalData_110" localSheetId="2">Data!#REF!</definedName>
    <definedName name="ExternalData_111" localSheetId="2">Data!#REF!</definedName>
    <definedName name="ExternalData_112" localSheetId="2">Data!#REF!</definedName>
    <definedName name="ExternalData_113" localSheetId="2">Data!#REF!</definedName>
    <definedName name="ExternalData_114" localSheetId="2">Data!#REF!</definedName>
    <definedName name="ExternalData_115" localSheetId="2">Data!#REF!</definedName>
    <definedName name="ExternalData_116" localSheetId="2">Data!#REF!</definedName>
    <definedName name="ExternalData_117" localSheetId="2">Data!#REF!</definedName>
    <definedName name="ExternalData_118" localSheetId="2">Data!#REF!</definedName>
    <definedName name="ExternalData_119" localSheetId="2">Data!#REF!</definedName>
    <definedName name="ExternalData_12" localSheetId="2">Data!#REF!</definedName>
    <definedName name="ExternalData_120" localSheetId="2">Data!#REF!</definedName>
    <definedName name="ExternalData_121" localSheetId="2">Data!#REF!</definedName>
    <definedName name="ExternalData_122" localSheetId="2">Data!#REF!</definedName>
    <definedName name="ExternalData_123" localSheetId="2">Data!#REF!</definedName>
    <definedName name="ExternalData_124" localSheetId="2">Data!#REF!</definedName>
    <definedName name="ExternalData_125" localSheetId="2">Data!#REF!</definedName>
    <definedName name="ExternalData_126" localSheetId="2">Data!#REF!</definedName>
    <definedName name="ExternalData_127" localSheetId="2">Data!#REF!</definedName>
    <definedName name="ExternalData_128" localSheetId="2">Data!#REF!</definedName>
    <definedName name="ExternalData_129" localSheetId="2">Data!#REF!</definedName>
    <definedName name="ExternalData_13" localSheetId="2">Data!#REF!</definedName>
    <definedName name="ExternalData_130" localSheetId="2">Data!#REF!</definedName>
    <definedName name="ExternalData_131" localSheetId="2">Data!#REF!</definedName>
    <definedName name="ExternalData_132" localSheetId="2">Data!#REF!</definedName>
    <definedName name="ExternalData_133" localSheetId="2">Data!#REF!</definedName>
    <definedName name="ExternalData_134" localSheetId="2">Data!#REF!</definedName>
    <definedName name="ExternalData_135" localSheetId="2">Data!#REF!</definedName>
    <definedName name="ExternalData_136" localSheetId="2">Data!#REF!</definedName>
    <definedName name="ExternalData_137" localSheetId="2">Data!#REF!</definedName>
    <definedName name="ExternalData_138" localSheetId="2">Data!#REF!</definedName>
    <definedName name="ExternalData_139" localSheetId="2">Data!#REF!</definedName>
    <definedName name="ExternalData_14" localSheetId="2">Data!#REF!</definedName>
    <definedName name="ExternalData_140" localSheetId="2">Data!#REF!</definedName>
    <definedName name="ExternalData_141" localSheetId="2">Data!#REF!</definedName>
    <definedName name="ExternalData_142" localSheetId="2">Data!#REF!</definedName>
    <definedName name="ExternalData_143" localSheetId="2">Data!#REF!</definedName>
    <definedName name="ExternalData_144" localSheetId="2">Data!$A$1:$A$263</definedName>
    <definedName name="ExternalData_145" localSheetId="2">Data!$A$1:$B$304</definedName>
    <definedName name="ExternalData_146" localSheetId="2">Data!$A$1:$D$351</definedName>
    <definedName name="ExternalData_147" localSheetId="2">Data!$A$1:$K$403</definedName>
    <definedName name="ExternalData_15" localSheetId="2">Data!#REF!</definedName>
    <definedName name="ExternalData_16" localSheetId="2">Data!#REF!</definedName>
    <definedName name="ExternalData_17" localSheetId="2">Data!#REF!</definedName>
    <definedName name="ExternalData_18" localSheetId="2">Data!#REF!</definedName>
    <definedName name="ExternalData_19" localSheetId="2">Data!#REF!</definedName>
    <definedName name="ExternalData_2" localSheetId="2">Data!#REF!</definedName>
    <definedName name="ExternalData_20" localSheetId="2">Data!#REF!</definedName>
    <definedName name="ExternalData_21" localSheetId="2">Data!#REF!</definedName>
    <definedName name="ExternalData_22" localSheetId="2">Data!#REF!</definedName>
    <definedName name="ExternalData_23" localSheetId="2">Data!#REF!</definedName>
    <definedName name="ExternalData_24" localSheetId="2">Data!#REF!</definedName>
    <definedName name="ExternalData_25" localSheetId="2">Data!#REF!</definedName>
    <definedName name="ExternalData_26" localSheetId="2">Data!#REF!</definedName>
    <definedName name="ExternalData_27" localSheetId="2">Data!#REF!</definedName>
    <definedName name="ExternalData_28" localSheetId="2">Data!#REF!</definedName>
    <definedName name="ExternalData_29" localSheetId="2">Data!#REF!</definedName>
    <definedName name="ExternalData_3" localSheetId="2">Data!#REF!</definedName>
    <definedName name="ExternalData_30" localSheetId="2">Data!#REF!</definedName>
    <definedName name="ExternalData_31" localSheetId="2">Data!#REF!</definedName>
    <definedName name="ExternalData_32" localSheetId="2">Data!#REF!</definedName>
    <definedName name="ExternalData_33" localSheetId="2">Data!#REF!</definedName>
    <definedName name="ExternalData_34" localSheetId="2">Data!#REF!</definedName>
    <definedName name="ExternalData_35" localSheetId="2">Data!#REF!</definedName>
    <definedName name="ExternalData_36" localSheetId="2">Data!#REF!</definedName>
    <definedName name="ExternalData_37" localSheetId="2">Data!#REF!</definedName>
    <definedName name="ExternalData_38" localSheetId="2">Data!#REF!</definedName>
    <definedName name="ExternalData_39" localSheetId="2">Data!#REF!</definedName>
    <definedName name="ExternalData_4" localSheetId="2">Data!#REF!</definedName>
    <definedName name="ExternalData_40" localSheetId="2">Data!#REF!</definedName>
    <definedName name="ExternalData_41" localSheetId="2">Data!#REF!</definedName>
    <definedName name="ExternalData_42" localSheetId="2">Data!#REF!</definedName>
    <definedName name="ExternalData_43" localSheetId="2">Data!#REF!</definedName>
    <definedName name="ExternalData_44" localSheetId="2">Data!#REF!</definedName>
    <definedName name="ExternalData_45" localSheetId="2">Data!#REF!</definedName>
    <definedName name="ExternalData_46" localSheetId="2">Data!#REF!</definedName>
    <definedName name="ExternalData_47" localSheetId="2">Data!#REF!</definedName>
    <definedName name="ExternalData_48" localSheetId="2">Data!#REF!</definedName>
    <definedName name="ExternalData_49" localSheetId="2">Data!#REF!</definedName>
    <definedName name="ExternalData_5" localSheetId="2">Data!#REF!</definedName>
    <definedName name="ExternalData_50" localSheetId="2">Data!#REF!</definedName>
    <definedName name="ExternalData_51" localSheetId="2">Data!#REF!</definedName>
    <definedName name="ExternalData_52" localSheetId="2">Data!#REF!</definedName>
    <definedName name="ExternalData_53" localSheetId="2">Data!#REF!</definedName>
    <definedName name="ExternalData_54" localSheetId="2">Data!#REF!</definedName>
    <definedName name="ExternalData_55" localSheetId="2">Data!#REF!</definedName>
    <definedName name="ExternalData_56" localSheetId="2">Data!#REF!</definedName>
    <definedName name="ExternalData_57" localSheetId="2">Data!#REF!</definedName>
    <definedName name="ExternalData_58" localSheetId="2">Data!#REF!</definedName>
    <definedName name="ExternalData_59" localSheetId="2">Data!#REF!</definedName>
    <definedName name="ExternalData_6" localSheetId="2">Data!#REF!</definedName>
    <definedName name="ExternalData_60" localSheetId="2">Data!#REF!</definedName>
    <definedName name="ExternalData_61" localSheetId="2">Data!#REF!</definedName>
    <definedName name="ExternalData_62" localSheetId="2">Data!#REF!</definedName>
    <definedName name="ExternalData_63" localSheetId="2">Data!#REF!</definedName>
    <definedName name="ExternalData_64" localSheetId="2">Data!#REF!</definedName>
    <definedName name="ExternalData_65" localSheetId="2">Data!#REF!</definedName>
    <definedName name="ExternalData_66" localSheetId="2">Data!#REF!</definedName>
    <definedName name="ExternalData_67" localSheetId="2">Data!#REF!</definedName>
    <definedName name="ExternalData_68" localSheetId="2">Data!#REF!</definedName>
    <definedName name="ExternalData_69" localSheetId="2">Data!#REF!</definedName>
    <definedName name="ExternalData_7" localSheetId="2">Data!#REF!</definedName>
    <definedName name="ExternalData_70" localSheetId="2">Data!#REF!</definedName>
    <definedName name="ExternalData_71" localSheetId="2">Data!#REF!</definedName>
    <definedName name="ExternalData_72" localSheetId="2">Data!#REF!</definedName>
    <definedName name="ExternalData_73" localSheetId="2">Data!#REF!</definedName>
    <definedName name="ExternalData_74" localSheetId="2">Data!#REF!</definedName>
    <definedName name="ExternalData_75" localSheetId="2">Data!#REF!</definedName>
    <definedName name="ExternalData_76" localSheetId="2">Data!#REF!</definedName>
    <definedName name="ExternalData_77" localSheetId="2">Data!#REF!</definedName>
    <definedName name="ExternalData_78" localSheetId="2">Data!#REF!</definedName>
    <definedName name="ExternalData_79" localSheetId="2">Data!#REF!</definedName>
    <definedName name="ExternalData_8" localSheetId="2">Data!#REF!</definedName>
    <definedName name="ExternalData_80" localSheetId="2">Data!#REF!</definedName>
    <definedName name="ExternalData_81" localSheetId="2">Data!#REF!</definedName>
    <definedName name="ExternalData_82" localSheetId="2">Data!#REF!</definedName>
    <definedName name="ExternalData_83" localSheetId="2">Data!#REF!</definedName>
    <definedName name="ExternalData_84" localSheetId="2">Data!#REF!</definedName>
    <definedName name="ExternalData_85" localSheetId="2">Data!#REF!</definedName>
    <definedName name="ExternalData_86" localSheetId="2">Data!#REF!</definedName>
    <definedName name="ExternalData_87" localSheetId="2">Data!#REF!</definedName>
    <definedName name="ExternalData_88" localSheetId="2">Data!#REF!</definedName>
    <definedName name="ExternalData_89" localSheetId="2">Data!#REF!</definedName>
    <definedName name="ExternalData_9" localSheetId="2">Data!#REF!</definedName>
    <definedName name="ExternalData_90" localSheetId="2">Data!#REF!</definedName>
    <definedName name="ExternalData_91" localSheetId="2">Data!#REF!</definedName>
    <definedName name="ExternalData_92" localSheetId="2">Data!#REF!</definedName>
    <definedName name="ExternalData_93" localSheetId="2">Data!#REF!</definedName>
    <definedName name="ExternalData_94" localSheetId="2">Data!#REF!</definedName>
    <definedName name="ExternalData_95" localSheetId="2">Data!#REF!</definedName>
    <definedName name="ExternalData_96" localSheetId="2">Data!#REF!</definedName>
    <definedName name="ExternalData_97" localSheetId="2">Data!#REF!</definedName>
    <definedName name="ExternalData_98" localSheetId="2">Data!#REF!</definedName>
    <definedName name="ExternalData_99" localSheetId="2">Data!#REF!</definedName>
    <definedName name="Infielders">Solver!$X$2:$AB$2</definedName>
    <definedName name="maxSalary">Solver!$V$2</definedName>
    <definedName name="Outfielders">Solver!$AC$2</definedName>
    <definedName name="Pitchers">Solver!$W$2</definedName>
    <definedName name="Points">Solver!$T$2</definedName>
    <definedName name="Selected">Solver!$I$2:$I$200</definedName>
    <definedName name="solver_adj" localSheetId="3" hidden="1">Solver!$I$2:$I$200</definedName>
    <definedName name="solver_cvg" localSheetId="3" hidden="1">0.0001</definedName>
    <definedName name="solver_drv" localSheetId="3" hidden="1">1</definedName>
    <definedName name="solver_eng" localSheetId="2" hidden="1">1</definedName>
    <definedName name="solver_eng" localSheetId="0" hidden="1">1</definedName>
    <definedName name="solver_eng" localSheetId="1" hidden="1">2</definedName>
    <definedName name="solver_eng" localSheetId="3" hidden="1">2</definedName>
    <definedName name="solver_est" localSheetId="3" hidden="1">1</definedName>
    <definedName name="solver_itr" localSheetId="3" hidden="1">2147483647</definedName>
    <definedName name="solver_lhs1" localSheetId="2" hidden="1">Data!#REF!</definedName>
    <definedName name="solver_lhs1" localSheetId="3" hidden="1">Solver!$W$2:$AC$2</definedName>
    <definedName name="solver_lhs10" localSheetId="3" hidden="1">Solver!$W$2</definedName>
    <definedName name="solver_lhs11" localSheetId="3" hidden="1">Solver!$W$2</definedName>
    <definedName name="solver_lhs12" localSheetId="3" hidden="1">Solver!$I$2:$I$200</definedName>
    <definedName name="solver_lhs13" localSheetId="3" hidden="1">Solver!$I$2:$I$200</definedName>
    <definedName name="solver_lhs14" localSheetId="3" hidden="1">Solver!$AC$2</definedName>
    <definedName name="solver_lhs15" localSheetId="3" hidden="1">Solver!#REF!</definedName>
    <definedName name="solver_lhs16" localSheetId="3" hidden="1">Solver!#REF!</definedName>
    <definedName name="solver_lhs17" localSheetId="3" hidden="1">Solver!#REF!</definedName>
    <definedName name="solver_lhs18" localSheetId="3" hidden="1">Solver!$U$2</definedName>
    <definedName name="solver_lhs19" localSheetId="3" hidden="1">Solver!#REF!</definedName>
    <definedName name="solver_lhs2" localSheetId="2" hidden="1">Data!#REF!</definedName>
    <definedName name="solver_lhs2" localSheetId="3" hidden="1">Solver!$W$2</definedName>
    <definedName name="solver_lhs20" localSheetId="3" hidden="1">Solver!$W$2</definedName>
    <definedName name="solver_lhs21" localSheetId="3" hidden="1">Solver!#REF!</definedName>
    <definedName name="solver_lhs22" localSheetId="3" hidden="1">Solver!$U$2</definedName>
    <definedName name="solver_lhs23" localSheetId="3" hidden="1">Solver!#REF!</definedName>
    <definedName name="solver_lhs24" localSheetId="3" hidden="1">Solver!#REF!</definedName>
    <definedName name="solver_lhs25" localSheetId="3" hidden="1">Solver!$AC$2</definedName>
    <definedName name="solver_lhs26" localSheetId="3" hidden="1">Solver!$U$2</definedName>
    <definedName name="solver_lhs27" localSheetId="3" hidden="1">Solver!$I$2:$I$200</definedName>
    <definedName name="solver_lhs28" localSheetId="3" hidden="1">Solver!$I$2:$I$200</definedName>
    <definedName name="solver_lhs29" localSheetId="3" hidden="1">Solver!#REF!</definedName>
    <definedName name="solver_lhs3" localSheetId="2" hidden="1">Data!#REF!</definedName>
    <definedName name="solver_lhs3" localSheetId="3" hidden="1">Solver!$X$2:$AB$2</definedName>
    <definedName name="solver_lhs30" localSheetId="3" hidden="1">Solver!#REF!</definedName>
    <definedName name="solver_lhs31" localSheetId="3" hidden="1">Solver!#REF!</definedName>
    <definedName name="solver_lhs4" localSheetId="2" hidden="1">Data!#REF!</definedName>
    <definedName name="solver_lhs4" localSheetId="3" hidden="1">Solver!$AC$2</definedName>
    <definedName name="solver_lhs5" localSheetId="2" hidden="1">Data!#REF!</definedName>
    <definedName name="solver_lhs5" localSheetId="3" hidden="1">Solver!$AD$2</definedName>
    <definedName name="solver_lhs6" localSheetId="2" hidden="1">Data!#REF!</definedName>
    <definedName name="solver_lhs6" localSheetId="3" hidden="1">Solver!$U$2</definedName>
    <definedName name="solver_lhs7" localSheetId="2" hidden="1">Data!#REF!</definedName>
    <definedName name="solver_lhs7" localSheetId="3" hidden="1">Solver!$I$2:$I$200</definedName>
    <definedName name="solver_lhs8" localSheetId="2" hidden="1">Data!#REF!</definedName>
    <definedName name="solver_lhs8" localSheetId="3" hidden="1">Solver!$I$4</definedName>
    <definedName name="solver_lhs9" localSheetId="3" hidden="1">Solver!$I$3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eg" localSheetId="3" hidden="1">1</definedName>
    <definedName name="solver_nod" localSheetId="3" hidden="1">2147483647</definedName>
    <definedName name="solver_num" localSheetId="2" hidden="1">0</definedName>
    <definedName name="solver_num" localSheetId="0" hidden="1">0</definedName>
    <definedName name="solver_num" localSheetId="1" hidden="1">0</definedName>
    <definedName name="solver_num" localSheetId="3" hidden="1">9</definedName>
    <definedName name="solver_nwt" localSheetId="3" hidden="1">1</definedName>
    <definedName name="solver_opt" localSheetId="1" hidden="1">OptimalLineup!$G$12</definedName>
    <definedName name="solver_opt" localSheetId="3" hidden="1">Solver!$T$2</definedName>
    <definedName name="solver_pre" localSheetId="2" hidden="1">0.0001</definedName>
    <definedName name="solver_pre" localSheetId="3" hidden="1">0.0001</definedName>
    <definedName name="solver_rbv" localSheetId="3" hidden="1">1</definedName>
    <definedName name="solver_rel1" localSheetId="2" hidden="1">3</definedName>
    <definedName name="solver_rel1" localSheetId="3" hidden="1">3</definedName>
    <definedName name="solver_rel10" localSheetId="3" hidden="1">2</definedName>
    <definedName name="solver_rel11" localSheetId="3" hidden="1">2</definedName>
    <definedName name="solver_rel12" localSheetId="3" hidden="1">5</definedName>
    <definedName name="solver_rel13" localSheetId="3" hidden="1">5</definedName>
    <definedName name="solver_rel14" localSheetId="3" hidden="1">2</definedName>
    <definedName name="solver_rel15" localSheetId="3" hidden="1">3</definedName>
    <definedName name="solver_rel16" localSheetId="3" hidden="1">3</definedName>
    <definedName name="solver_rel17" localSheetId="3" hidden="1">2</definedName>
    <definedName name="solver_rel18" localSheetId="3" hidden="1">1</definedName>
    <definedName name="solver_rel19" localSheetId="3" hidden="1">3</definedName>
    <definedName name="solver_rel2" localSheetId="2" hidden="1">1</definedName>
    <definedName name="solver_rel2" localSheetId="3" hidden="1">2</definedName>
    <definedName name="solver_rel20" localSheetId="3" hidden="1">2</definedName>
    <definedName name="solver_rel21" localSheetId="3" hidden="1">3</definedName>
    <definedName name="solver_rel22" localSheetId="3" hidden="1">1</definedName>
    <definedName name="solver_rel23" localSheetId="3" hidden="1">2</definedName>
    <definedName name="solver_rel24" localSheetId="3" hidden="1">2</definedName>
    <definedName name="solver_rel25" localSheetId="3" hidden="1">2</definedName>
    <definedName name="solver_rel26" localSheetId="3" hidden="1">1</definedName>
    <definedName name="solver_rel27" localSheetId="3" hidden="1">5</definedName>
    <definedName name="solver_rel28" localSheetId="3" hidden="1">5</definedName>
    <definedName name="solver_rel29" localSheetId="3" hidden="1">3</definedName>
    <definedName name="solver_rel3" localSheetId="2" hidden="1">3</definedName>
    <definedName name="solver_rel3" localSheetId="3" hidden="1">2</definedName>
    <definedName name="solver_rel30" localSheetId="3" hidden="1">3</definedName>
    <definedName name="solver_rel31" localSheetId="3" hidden="1">3</definedName>
    <definedName name="solver_rel4" localSheetId="2" hidden="1">1</definedName>
    <definedName name="solver_rel4" localSheetId="3" hidden="1">2</definedName>
    <definedName name="solver_rel5" localSheetId="2" hidden="1">1</definedName>
    <definedName name="solver_rel5" localSheetId="3" hidden="1">2</definedName>
    <definedName name="solver_rel6" localSheetId="2" hidden="1">2</definedName>
    <definedName name="solver_rel6" localSheetId="3" hidden="1">1</definedName>
    <definedName name="solver_rel7" localSheetId="2" hidden="1">1</definedName>
    <definedName name="solver_rel7" localSheetId="3" hidden="1">5</definedName>
    <definedName name="solver_rel8" localSheetId="2" hidden="1">5</definedName>
    <definedName name="solver_rel8" localSheetId="3" hidden="1">2</definedName>
    <definedName name="solver_rel9" localSheetId="3" hidden="1">2</definedName>
    <definedName name="solver_rhs1" localSheetId="2" hidden="1">1</definedName>
    <definedName name="solver_rhs1" localSheetId="3" hidden="1">1</definedName>
    <definedName name="solver_rhs10" localSheetId="3" hidden="1">2</definedName>
    <definedName name="solver_rhs11" localSheetId="3" hidden="1">2</definedName>
    <definedName name="solver_rhs12" localSheetId="3" hidden="1">binary</definedName>
    <definedName name="solver_rhs13" localSheetId="3" hidden="1">binary</definedName>
    <definedName name="solver_rhs14" localSheetId="3" hidden="1">3</definedName>
    <definedName name="solver_rhs15" localSheetId="3" hidden="1">1</definedName>
    <definedName name="solver_rhs16" localSheetId="3" hidden="1">1</definedName>
    <definedName name="solver_rhs17" localSheetId="3" hidden="1">10</definedName>
    <definedName name="solver_rhs18" localSheetId="3" hidden="1">200</definedName>
    <definedName name="solver_rhs19" localSheetId="3" hidden="1">1</definedName>
    <definedName name="solver_rhs2" localSheetId="2" hidden="1">4</definedName>
    <definedName name="solver_rhs2" localSheetId="3" hidden="1">2</definedName>
    <definedName name="solver_rhs20" localSheetId="3" hidden="1">2</definedName>
    <definedName name="solver_rhs21" localSheetId="3" hidden="1">1</definedName>
    <definedName name="solver_rhs22" localSheetId="3" hidden="1">200</definedName>
    <definedName name="solver_rhs23" localSheetId="3" hidden="1">1</definedName>
    <definedName name="solver_rhs24" localSheetId="3" hidden="1">10</definedName>
    <definedName name="solver_rhs25" localSheetId="3" hidden="1">3</definedName>
    <definedName name="solver_rhs26" localSheetId="3" hidden="1">200</definedName>
    <definedName name="solver_rhs27" localSheetId="3" hidden="1">binary</definedName>
    <definedName name="solver_rhs28" localSheetId="3" hidden="1">binary</definedName>
    <definedName name="solver_rhs29" localSheetId="3" hidden="1">3</definedName>
    <definedName name="solver_rhs3" localSheetId="2" hidden="1">3</definedName>
    <definedName name="solver_rhs3" localSheetId="3" hidden="1">1</definedName>
    <definedName name="solver_rhs30" localSheetId="3" hidden="1">3</definedName>
    <definedName name="solver_rhs31" localSheetId="3" hidden="1">3</definedName>
    <definedName name="solver_rhs4" localSheetId="2" hidden="1">3</definedName>
    <definedName name="solver_rhs4" localSheetId="3" hidden="1">3</definedName>
    <definedName name="solver_rhs5" localSheetId="2" hidden="1">2</definedName>
    <definedName name="solver_rhs5" localSheetId="3" hidden="1">10</definedName>
    <definedName name="solver_rhs6" localSheetId="2" hidden="1">8</definedName>
    <definedName name="solver_rhs6" localSheetId="3" hidden="1">200</definedName>
    <definedName name="solver_rhs7" localSheetId="2" hidden="1">200</definedName>
    <definedName name="solver_rhs7" localSheetId="3" hidden="1">binary</definedName>
    <definedName name="solver_rhs8" localSheetId="2" hidden="1">binary</definedName>
    <definedName name="solver_rhs8" localSheetId="3" hidden="1">1</definedName>
    <definedName name="solver_rhs9" localSheetId="3" hidden="1">0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2" hidden="1">1</definedName>
    <definedName name="solver_typ" localSheetId="0" hidden="1">1</definedName>
    <definedName name="solver_typ" localSheetId="1" hidden="1">1</definedName>
    <definedName name="solver_typ" localSheetId="3" hidden="1">1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al" localSheetId="3" hidden="1">0</definedName>
    <definedName name="solver_ver" localSheetId="2" hidden="1">3</definedName>
    <definedName name="solver_ver" localSheetId="0" hidden="1">3</definedName>
    <definedName name="solver_ver" localSheetId="1" hidden="1">3</definedName>
    <definedName name="solver_ver" localSheetId="3" hidden="1">3</definedName>
    <definedName name="totalPositions">Solver!$AD$2</definedName>
  </definedNames>
  <calcPr calcId="171027"/>
</workbook>
</file>

<file path=xl/calcChain.xml><?xml version="1.0" encoding="utf-8"?>
<calcChain xmlns="http://schemas.openxmlformats.org/spreadsheetml/2006/main">
  <c r="E11" i="3" l="1"/>
  <c r="E10" i="3"/>
  <c r="E9" i="3"/>
  <c r="E8" i="3"/>
  <c r="E7" i="3"/>
  <c r="E6" i="3"/>
  <c r="E5" i="3"/>
  <c r="E4" i="3"/>
  <c r="E3" i="3"/>
  <c r="E2" i="3"/>
  <c r="J2" i="6" l="1"/>
  <c r="T2" i="6" l="1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J3" i="6" l="1"/>
  <c r="K3" i="6"/>
  <c r="L3" i="6"/>
  <c r="M3" i="6"/>
  <c r="N3" i="6"/>
  <c r="O3" i="6"/>
  <c r="P3" i="6"/>
  <c r="J4" i="6"/>
  <c r="K4" i="6"/>
  <c r="L4" i="6"/>
  <c r="M4" i="6"/>
  <c r="N4" i="6"/>
  <c r="O4" i="6"/>
  <c r="P4" i="6"/>
  <c r="J5" i="6"/>
  <c r="K5" i="6"/>
  <c r="L5" i="6"/>
  <c r="M5" i="6"/>
  <c r="N5" i="6"/>
  <c r="O5" i="6"/>
  <c r="P5" i="6"/>
  <c r="J6" i="6"/>
  <c r="K6" i="6"/>
  <c r="L6" i="6"/>
  <c r="M6" i="6"/>
  <c r="N6" i="6"/>
  <c r="O6" i="6"/>
  <c r="P6" i="6"/>
  <c r="J7" i="6"/>
  <c r="K7" i="6"/>
  <c r="L7" i="6"/>
  <c r="M7" i="6"/>
  <c r="N7" i="6"/>
  <c r="O7" i="6"/>
  <c r="P7" i="6"/>
  <c r="J8" i="6"/>
  <c r="K8" i="6"/>
  <c r="L8" i="6"/>
  <c r="M8" i="6"/>
  <c r="N8" i="6"/>
  <c r="O8" i="6"/>
  <c r="P8" i="6"/>
  <c r="J9" i="6"/>
  <c r="K9" i="6"/>
  <c r="L9" i="6"/>
  <c r="M9" i="6"/>
  <c r="N9" i="6"/>
  <c r="O9" i="6"/>
  <c r="P9" i="6"/>
  <c r="J10" i="6"/>
  <c r="K10" i="6"/>
  <c r="L10" i="6"/>
  <c r="M10" i="6"/>
  <c r="N10" i="6"/>
  <c r="O10" i="6"/>
  <c r="P10" i="6"/>
  <c r="J11" i="6"/>
  <c r="K11" i="6"/>
  <c r="L11" i="6"/>
  <c r="M11" i="6"/>
  <c r="N11" i="6"/>
  <c r="O11" i="6"/>
  <c r="P11" i="6"/>
  <c r="J12" i="6"/>
  <c r="K12" i="6"/>
  <c r="L12" i="6"/>
  <c r="M12" i="6"/>
  <c r="N12" i="6"/>
  <c r="O12" i="6"/>
  <c r="P12" i="6"/>
  <c r="J13" i="6"/>
  <c r="K13" i="6"/>
  <c r="L13" i="6"/>
  <c r="M13" i="6"/>
  <c r="N13" i="6"/>
  <c r="O13" i="6"/>
  <c r="P13" i="6"/>
  <c r="J14" i="6"/>
  <c r="K14" i="6"/>
  <c r="L14" i="6"/>
  <c r="M14" i="6"/>
  <c r="N14" i="6"/>
  <c r="O14" i="6"/>
  <c r="P14" i="6"/>
  <c r="J15" i="6"/>
  <c r="K15" i="6"/>
  <c r="L15" i="6"/>
  <c r="M15" i="6"/>
  <c r="N15" i="6"/>
  <c r="O15" i="6"/>
  <c r="P15" i="6"/>
  <c r="J16" i="6"/>
  <c r="K16" i="6"/>
  <c r="L16" i="6"/>
  <c r="M16" i="6"/>
  <c r="N16" i="6"/>
  <c r="O16" i="6"/>
  <c r="P16" i="6"/>
  <c r="J17" i="6"/>
  <c r="K17" i="6"/>
  <c r="L17" i="6"/>
  <c r="M17" i="6"/>
  <c r="N17" i="6"/>
  <c r="O17" i="6"/>
  <c r="P17" i="6"/>
  <c r="J18" i="6"/>
  <c r="K18" i="6"/>
  <c r="L18" i="6"/>
  <c r="M18" i="6"/>
  <c r="N18" i="6"/>
  <c r="O18" i="6"/>
  <c r="P18" i="6"/>
  <c r="J19" i="6"/>
  <c r="K19" i="6"/>
  <c r="L19" i="6"/>
  <c r="M19" i="6"/>
  <c r="N19" i="6"/>
  <c r="O19" i="6"/>
  <c r="P19" i="6"/>
  <c r="J20" i="6"/>
  <c r="K20" i="6"/>
  <c r="L20" i="6"/>
  <c r="M20" i="6"/>
  <c r="N20" i="6"/>
  <c r="O20" i="6"/>
  <c r="P20" i="6"/>
  <c r="J21" i="6"/>
  <c r="K21" i="6"/>
  <c r="L21" i="6"/>
  <c r="M21" i="6"/>
  <c r="N21" i="6"/>
  <c r="O21" i="6"/>
  <c r="P21" i="6"/>
  <c r="J22" i="6"/>
  <c r="K22" i="6"/>
  <c r="L22" i="6"/>
  <c r="M22" i="6"/>
  <c r="N22" i="6"/>
  <c r="O22" i="6"/>
  <c r="P22" i="6"/>
  <c r="J23" i="6"/>
  <c r="K23" i="6"/>
  <c r="L23" i="6"/>
  <c r="M23" i="6"/>
  <c r="N23" i="6"/>
  <c r="O23" i="6"/>
  <c r="P23" i="6"/>
  <c r="J24" i="6"/>
  <c r="K24" i="6"/>
  <c r="L24" i="6"/>
  <c r="M24" i="6"/>
  <c r="N24" i="6"/>
  <c r="O24" i="6"/>
  <c r="P24" i="6"/>
  <c r="J25" i="6"/>
  <c r="K25" i="6"/>
  <c r="L25" i="6"/>
  <c r="M25" i="6"/>
  <c r="N25" i="6"/>
  <c r="O25" i="6"/>
  <c r="P25" i="6"/>
  <c r="J26" i="6"/>
  <c r="K26" i="6"/>
  <c r="L26" i="6"/>
  <c r="M26" i="6"/>
  <c r="N26" i="6"/>
  <c r="O26" i="6"/>
  <c r="P26" i="6"/>
  <c r="J27" i="6"/>
  <c r="K27" i="6"/>
  <c r="L27" i="6"/>
  <c r="M27" i="6"/>
  <c r="N27" i="6"/>
  <c r="O27" i="6"/>
  <c r="P27" i="6"/>
  <c r="J28" i="6"/>
  <c r="K28" i="6"/>
  <c r="L28" i="6"/>
  <c r="M28" i="6"/>
  <c r="N28" i="6"/>
  <c r="O28" i="6"/>
  <c r="P28" i="6"/>
  <c r="J29" i="6"/>
  <c r="K29" i="6"/>
  <c r="L29" i="6"/>
  <c r="M29" i="6"/>
  <c r="N29" i="6"/>
  <c r="O29" i="6"/>
  <c r="P29" i="6"/>
  <c r="J30" i="6"/>
  <c r="K30" i="6"/>
  <c r="L30" i="6"/>
  <c r="M30" i="6"/>
  <c r="N30" i="6"/>
  <c r="O30" i="6"/>
  <c r="P30" i="6"/>
  <c r="J31" i="6"/>
  <c r="K31" i="6"/>
  <c r="L31" i="6"/>
  <c r="M31" i="6"/>
  <c r="N31" i="6"/>
  <c r="O31" i="6"/>
  <c r="P31" i="6"/>
  <c r="J32" i="6"/>
  <c r="K32" i="6"/>
  <c r="L32" i="6"/>
  <c r="M32" i="6"/>
  <c r="N32" i="6"/>
  <c r="O32" i="6"/>
  <c r="P32" i="6"/>
  <c r="J33" i="6"/>
  <c r="K33" i="6"/>
  <c r="L33" i="6"/>
  <c r="M33" i="6"/>
  <c r="N33" i="6"/>
  <c r="O33" i="6"/>
  <c r="P33" i="6"/>
  <c r="J34" i="6"/>
  <c r="K34" i="6"/>
  <c r="L34" i="6"/>
  <c r="M34" i="6"/>
  <c r="N34" i="6"/>
  <c r="O34" i="6"/>
  <c r="P34" i="6"/>
  <c r="J35" i="6"/>
  <c r="K35" i="6"/>
  <c r="L35" i="6"/>
  <c r="M35" i="6"/>
  <c r="N35" i="6"/>
  <c r="O35" i="6"/>
  <c r="P35" i="6"/>
  <c r="J36" i="6"/>
  <c r="K36" i="6"/>
  <c r="L36" i="6"/>
  <c r="M36" i="6"/>
  <c r="N36" i="6"/>
  <c r="O36" i="6"/>
  <c r="P36" i="6"/>
  <c r="J37" i="6"/>
  <c r="K37" i="6"/>
  <c r="L37" i="6"/>
  <c r="M37" i="6"/>
  <c r="N37" i="6"/>
  <c r="O37" i="6"/>
  <c r="P37" i="6"/>
  <c r="J38" i="6"/>
  <c r="K38" i="6"/>
  <c r="L38" i="6"/>
  <c r="M38" i="6"/>
  <c r="N38" i="6"/>
  <c r="O38" i="6"/>
  <c r="P38" i="6"/>
  <c r="J39" i="6"/>
  <c r="K39" i="6"/>
  <c r="L39" i="6"/>
  <c r="M39" i="6"/>
  <c r="N39" i="6"/>
  <c r="O39" i="6"/>
  <c r="P39" i="6"/>
  <c r="J40" i="6"/>
  <c r="K40" i="6"/>
  <c r="L40" i="6"/>
  <c r="M40" i="6"/>
  <c r="N40" i="6"/>
  <c r="O40" i="6"/>
  <c r="P40" i="6"/>
  <c r="J41" i="6"/>
  <c r="K41" i="6"/>
  <c r="L41" i="6"/>
  <c r="M41" i="6"/>
  <c r="N41" i="6"/>
  <c r="O41" i="6"/>
  <c r="P41" i="6"/>
  <c r="J42" i="6"/>
  <c r="K42" i="6"/>
  <c r="L42" i="6"/>
  <c r="M42" i="6"/>
  <c r="N42" i="6"/>
  <c r="O42" i="6"/>
  <c r="P42" i="6"/>
  <c r="J43" i="6"/>
  <c r="K43" i="6"/>
  <c r="L43" i="6"/>
  <c r="M43" i="6"/>
  <c r="N43" i="6"/>
  <c r="O43" i="6"/>
  <c r="P43" i="6"/>
  <c r="J44" i="6"/>
  <c r="K44" i="6"/>
  <c r="L44" i="6"/>
  <c r="M44" i="6"/>
  <c r="N44" i="6"/>
  <c r="O44" i="6"/>
  <c r="P44" i="6"/>
  <c r="J45" i="6"/>
  <c r="K45" i="6"/>
  <c r="L45" i="6"/>
  <c r="M45" i="6"/>
  <c r="N45" i="6"/>
  <c r="O45" i="6"/>
  <c r="P45" i="6"/>
  <c r="J46" i="6"/>
  <c r="K46" i="6"/>
  <c r="L46" i="6"/>
  <c r="M46" i="6"/>
  <c r="N46" i="6"/>
  <c r="O46" i="6"/>
  <c r="P46" i="6"/>
  <c r="J47" i="6"/>
  <c r="K47" i="6"/>
  <c r="L47" i="6"/>
  <c r="M47" i="6"/>
  <c r="N47" i="6"/>
  <c r="O47" i="6"/>
  <c r="P47" i="6"/>
  <c r="J48" i="6"/>
  <c r="K48" i="6"/>
  <c r="L48" i="6"/>
  <c r="M48" i="6"/>
  <c r="N48" i="6"/>
  <c r="O48" i="6"/>
  <c r="P48" i="6"/>
  <c r="J49" i="6"/>
  <c r="K49" i="6"/>
  <c r="L49" i="6"/>
  <c r="M49" i="6"/>
  <c r="N49" i="6"/>
  <c r="O49" i="6"/>
  <c r="P49" i="6"/>
  <c r="J50" i="6"/>
  <c r="K50" i="6"/>
  <c r="L50" i="6"/>
  <c r="M50" i="6"/>
  <c r="N50" i="6"/>
  <c r="O50" i="6"/>
  <c r="P50" i="6"/>
  <c r="J51" i="6"/>
  <c r="K51" i="6"/>
  <c r="L51" i="6"/>
  <c r="M51" i="6"/>
  <c r="N51" i="6"/>
  <c r="O51" i="6"/>
  <c r="P51" i="6"/>
  <c r="J52" i="6"/>
  <c r="K52" i="6"/>
  <c r="L52" i="6"/>
  <c r="M52" i="6"/>
  <c r="N52" i="6"/>
  <c r="O52" i="6"/>
  <c r="P52" i="6"/>
  <c r="J53" i="6"/>
  <c r="K53" i="6"/>
  <c r="L53" i="6"/>
  <c r="M53" i="6"/>
  <c r="N53" i="6"/>
  <c r="O53" i="6"/>
  <c r="P53" i="6"/>
  <c r="J54" i="6"/>
  <c r="K54" i="6"/>
  <c r="L54" i="6"/>
  <c r="M54" i="6"/>
  <c r="N54" i="6"/>
  <c r="O54" i="6"/>
  <c r="P54" i="6"/>
  <c r="J55" i="6"/>
  <c r="K55" i="6"/>
  <c r="L55" i="6"/>
  <c r="M55" i="6"/>
  <c r="N55" i="6"/>
  <c r="O55" i="6"/>
  <c r="P55" i="6"/>
  <c r="J56" i="6"/>
  <c r="K56" i="6"/>
  <c r="L56" i="6"/>
  <c r="M56" i="6"/>
  <c r="N56" i="6"/>
  <c r="O56" i="6"/>
  <c r="P56" i="6"/>
  <c r="J57" i="6"/>
  <c r="K57" i="6"/>
  <c r="L57" i="6"/>
  <c r="M57" i="6"/>
  <c r="N57" i="6"/>
  <c r="O57" i="6"/>
  <c r="P57" i="6"/>
  <c r="J58" i="6"/>
  <c r="K58" i="6"/>
  <c r="L58" i="6"/>
  <c r="M58" i="6"/>
  <c r="N58" i="6"/>
  <c r="O58" i="6"/>
  <c r="P58" i="6"/>
  <c r="J59" i="6"/>
  <c r="K59" i="6"/>
  <c r="L59" i="6"/>
  <c r="M59" i="6"/>
  <c r="N59" i="6"/>
  <c r="O59" i="6"/>
  <c r="P59" i="6"/>
  <c r="J60" i="6"/>
  <c r="K60" i="6"/>
  <c r="L60" i="6"/>
  <c r="M60" i="6"/>
  <c r="N60" i="6"/>
  <c r="O60" i="6"/>
  <c r="P60" i="6"/>
  <c r="J61" i="6"/>
  <c r="K61" i="6"/>
  <c r="L61" i="6"/>
  <c r="M61" i="6"/>
  <c r="N61" i="6"/>
  <c r="O61" i="6"/>
  <c r="P61" i="6"/>
  <c r="J62" i="6"/>
  <c r="K62" i="6"/>
  <c r="L62" i="6"/>
  <c r="M62" i="6"/>
  <c r="N62" i="6"/>
  <c r="O62" i="6"/>
  <c r="P62" i="6"/>
  <c r="J63" i="6"/>
  <c r="K63" i="6"/>
  <c r="L63" i="6"/>
  <c r="M63" i="6"/>
  <c r="N63" i="6"/>
  <c r="O63" i="6"/>
  <c r="P63" i="6"/>
  <c r="J64" i="6"/>
  <c r="K64" i="6"/>
  <c r="L64" i="6"/>
  <c r="M64" i="6"/>
  <c r="N64" i="6"/>
  <c r="O64" i="6"/>
  <c r="P64" i="6"/>
  <c r="J65" i="6"/>
  <c r="K65" i="6"/>
  <c r="L65" i="6"/>
  <c r="M65" i="6"/>
  <c r="N65" i="6"/>
  <c r="O65" i="6"/>
  <c r="P65" i="6"/>
  <c r="J66" i="6"/>
  <c r="K66" i="6"/>
  <c r="L66" i="6"/>
  <c r="M66" i="6"/>
  <c r="N66" i="6"/>
  <c r="O66" i="6"/>
  <c r="P66" i="6"/>
  <c r="J67" i="6"/>
  <c r="K67" i="6"/>
  <c r="L67" i="6"/>
  <c r="M67" i="6"/>
  <c r="N67" i="6"/>
  <c r="O67" i="6"/>
  <c r="P67" i="6"/>
  <c r="J68" i="6"/>
  <c r="K68" i="6"/>
  <c r="L68" i="6"/>
  <c r="M68" i="6"/>
  <c r="N68" i="6"/>
  <c r="O68" i="6"/>
  <c r="P68" i="6"/>
  <c r="J69" i="6"/>
  <c r="K69" i="6"/>
  <c r="L69" i="6"/>
  <c r="M69" i="6"/>
  <c r="N69" i="6"/>
  <c r="O69" i="6"/>
  <c r="P69" i="6"/>
  <c r="J70" i="6"/>
  <c r="K70" i="6"/>
  <c r="L70" i="6"/>
  <c r="M70" i="6"/>
  <c r="N70" i="6"/>
  <c r="O70" i="6"/>
  <c r="P70" i="6"/>
  <c r="J71" i="6"/>
  <c r="K71" i="6"/>
  <c r="L71" i="6"/>
  <c r="M71" i="6"/>
  <c r="N71" i="6"/>
  <c r="O71" i="6"/>
  <c r="P71" i="6"/>
  <c r="J72" i="6"/>
  <c r="K72" i="6"/>
  <c r="L72" i="6"/>
  <c r="M72" i="6"/>
  <c r="N72" i="6"/>
  <c r="O72" i="6"/>
  <c r="P72" i="6"/>
  <c r="J73" i="6"/>
  <c r="K73" i="6"/>
  <c r="L73" i="6"/>
  <c r="M73" i="6"/>
  <c r="N73" i="6"/>
  <c r="O73" i="6"/>
  <c r="P73" i="6"/>
  <c r="J74" i="6"/>
  <c r="K74" i="6"/>
  <c r="L74" i="6"/>
  <c r="M74" i="6"/>
  <c r="N74" i="6"/>
  <c r="O74" i="6"/>
  <c r="P74" i="6"/>
  <c r="J75" i="6"/>
  <c r="K75" i="6"/>
  <c r="L75" i="6"/>
  <c r="M75" i="6"/>
  <c r="N75" i="6"/>
  <c r="O75" i="6"/>
  <c r="P75" i="6"/>
  <c r="J76" i="6"/>
  <c r="K76" i="6"/>
  <c r="L76" i="6"/>
  <c r="M76" i="6"/>
  <c r="N76" i="6"/>
  <c r="O76" i="6"/>
  <c r="P76" i="6"/>
  <c r="J77" i="6"/>
  <c r="K77" i="6"/>
  <c r="L77" i="6"/>
  <c r="M77" i="6"/>
  <c r="N77" i="6"/>
  <c r="O77" i="6"/>
  <c r="P77" i="6"/>
  <c r="J78" i="6"/>
  <c r="K78" i="6"/>
  <c r="L78" i="6"/>
  <c r="M78" i="6"/>
  <c r="N78" i="6"/>
  <c r="O78" i="6"/>
  <c r="P78" i="6"/>
  <c r="J79" i="6"/>
  <c r="K79" i="6"/>
  <c r="L79" i="6"/>
  <c r="M79" i="6"/>
  <c r="N79" i="6"/>
  <c r="O79" i="6"/>
  <c r="P79" i="6"/>
  <c r="J80" i="6"/>
  <c r="K80" i="6"/>
  <c r="L80" i="6"/>
  <c r="M80" i="6"/>
  <c r="N80" i="6"/>
  <c r="O80" i="6"/>
  <c r="P80" i="6"/>
  <c r="J81" i="6"/>
  <c r="K81" i="6"/>
  <c r="L81" i="6"/>
  <c r="M81" i="6"/>
  <c r="N81" i="6"/>
  <c r="O81" i="6"/>
  <c r="P81" i="6"/>
  <c r="J82" i="6"/>
  <c r="K82" i="6"/>
  <c r="L82" i="6"/>
  <c r="M82" i="6"/>
  <c r="N82" i="6"/>
  <c r="O82" i="6"/>
  <c r="P82" i="6"/>
  <c r="J83" i="6"/>
  <c r="K83" i="6"/>
  <c r="L83" i="6"/>
  <c r="M83" i="6"/>
  <c r="N83" i="6"/>
  <c r="O83" i="6"/>
  <c r="P83" i="6"/>
  <c r="J84" i="6"/>
  <c r="K84" i="6"/>
  <c r="L84" i="6"/>
  <c r="M84" i="6"/>
  <c r="N84" i="6"/>
  <c r="O84" i="6"/>
  <c r="P84" i="6"/>
  <c r="J85" i="6"/>
  <c r="K85" i="6"/>
  <c r="L85" i="6"/>
  <c r="M85" i="6"/>
  <c r="N85" i="6"/>
  <c r="O85" i="6"/>
  <c r="P85" i="6"/>
  <c r="J86" i="6"/>
  <c r="K86" i="6"/>
  <c r="L86" i="6"/>
  <c r="M86" i="6"/>
  <c r="N86" i="6"/>
  <c r="O86" i="6"/>
  <c r="P86" i="6"/>
  <c r="J87" i="6"/>
  <c r="K87" i="6"/>
  <c r="L87" i="6"/>
  <c r="M87" i="6"/>
  <c r="N87" i="6"/>
  <c r="O87" i="6"/>
  <c r="P87" i="6"/>
  <c r="J88" i="6"/>
  <c r="K88" i="6"/>
  <c r="L88" i="6"/>
  <c r="M88" i="6"/>
  <c r="N88" i="6"/>
  <c r="O88" i="6"/>
  <c r="P88" i="6"/>
  <c r="J89" i="6"/>
  <c r="K89" i="6"/>
  <c r="L89" i="6"/>
  <c r="M89" i="6"/>
  <c r="N89" i="6"/>
  <c r="O89" i="6"/>
  <c r="P89" i="6"/>
  <c r="J90" i="6"/>
  <c r="K90" i="6"/>
  <c r="L90" i="6"/>
  <c r="M90" i="6"/>
  <c r="N90" i="6"/>
  <c r="O90" i="6"/>
  <c r="P90" i="6"/>
  <c r="J91" i="6"/>
  <c r="K91" i="6"/>
  <c r="L91" i="6"/>
  <c r="M91" i="6"/>
  <c r="N91" i="6"/>
  <c r="O91" i="6"/>
  <c r="P91" i="6"/>
  <c r="J92" i="6"/>
  <c r="K92" i="6"/>
  <c r="L92" i="6"/>
  <c r="M92" i="6"/>
  <c r="N92" i="6"/>
  <c r="O92" i="6"/>
  <c r="P92" i="6"/>
  <c r="J93" i="6"/>
  <c r="K93" i="6"/>
  <c r="L93" i="6"/>
  <c r="M93" i="6"/>
  <c r="N93" i="6"/>
  <c r="O93" i="6"/>
  <c r="P93" i="6"/>
  <c r="J94" i="6"/>
  <c r="K94" i="6"/>
  <c r="L94" i="6"/>
  <c r="M94" i="6"/>
  <c r="N94" i="6"/>
  <c r="O94" i="6"/>
  <c r="P94" i="6"/>
  <c r="J95" i="6"/>
  <c r="K95" i="6"/>
  <c r="L95" i="6"/>
  <c r="M95" i="6"/>
  <c r="N95" i="6"/>
  <c r="O95" i="6"/>
  <c r="P95" i="6"/>
  <c r="J96" i="6"/>
  <c r="K96" i="6"/>
  <c r="L96" i="6"/>
  <c r="M96" i="6"/>
  <c r="N96" i="6"/>
  <c r="O96" i="6"/>
  <c r="P96" i="6"/>
  <c r="J97" i="6"/>
  <c r="K97" i="6"/>
  <c r="L97" i="6"/>
  <c r="M97" i="6"/>
  <c r="N97" i="6"/>
  <c r="O97" i="6"/>
  <c r="P97" i="6"/>
  <c r="J98" i="6"/>
  <c r="K98" i="6"/>
  <c r="L98" i="6"/>
  <c r="M98" i="6"/>
  <c r="N98" i="6"/>
  <c r="O98" i="6"/>
  <c r="P98" i="6"/>
  <c r="J99" i="6"/>
  <c r="K99" i="6"/>
  <c r="L99" i="6"/>
  <c r="M99" i="6"/>
  <c r="N99" i="6"/>
  <c r="O99" i="6"/>
  <c r="P99" i="6"/>
  <c r="J100" i="6"/>
  <c r="K100" i="6"/>
  <c r="L100" i="6"/>
  <c r="M100" i="6"/>
  <c r="N100" i="6"/>
  <c r="O100" i="6"/>
  <c r="P100" i="6"/>
  <c r="J101" i="6"/>
  <c r="K101" i="6"/>
  <c r="L101" i="6"/>
  <c r="M101" i="6"/>
  <c r="N101" i="6"/>
  <c r="O101" i="6"/>
  <c r="P101" i="6"/>
  <c r="J102" i="6"/>
  <c r="K102" i="6"/>
  <c r="L102" i="6"/>
  <c r="M102" i="6"/>
  <c r="N102" i="6"/>
  <c r="O102" i="6"/>
  <c r="P102" i="6"/>
  <c r="J103" i="6"/>
  <c r="K103" i="6"/>
  <c r="L103" i="6"/>
  <c r="M103" i="6"/>
  <c r="N103" i="6"/>
  <c r="O103" i="6"/>
  <c r="P103" i="6"/>
  <c r="J104" i="6"/>
  <c r="K104" i="6"/>
  <c r="L104" i="6"/>
  <c r="M104" i="6"/>
  <c r="N104" i="6"/>
  <c r="O104" i="6"/>
  <c r="P104" i="6"/>
  <c r="J105" i="6"/>
  <c r="K105" i="6"/>
  <c r="L105" i="6"/>
  <c r="M105" i="6"/>
  <c r="N105" i="6"/>
  <c r="O105" i="6"/>
  <c r="P105" i="6"/>
  <c r="J106" i="6"/>
  <c r="K106" i="6"/>
  <c r="L106" i="6"/>
  <c r="M106" i="6"/>
  <c r="N106" i="6"/>
  <c r="O106" i="6"/>
  <c r="P106" i="6"/>
  <c r="J107" i="6"/>
  <c r="K107" i="6"/>
  <c r="L107" i="6"/>
  <c r="M107" i="6"/>
  <c r="N107" i="6"/>
  <c r="O107" i="6"/>
  <c r="P107" i="6"/>
  <c r="J108" i="6"/>
  <c r="K108" i="6"/>
  <c r="L108" i="6"/>
  <c r="M108" i="6"/>
  <c r="N108" i="6"/>
  <c r="O108" i="6"/>
  <c r="P108" i="6"/>
  <c r="J109" i="6"/>
  <c r="K109" i="6"/>
  <c r="L109" i="6"/>
  <c r="M109" i="6"/>
  <c r="N109" i="6"/>
  <c r="O109" i="6"/>
  <c r="P109" i="6"/>
  <c r="J110" i="6"/>
  <c r="K110" i="6"/>
  <c r="L110" i="6"/>
  <c r="M110" i="6"/>
  <c r="N110" i="6"/>
  <c r="O110" i="6"/>
  <c r="P110" i="6"/>
  <c r="J111" i="6"/>
  <c r="K111" i="6"/>
  <c r="L111" i="6"/>
  <c r="M111" i="6"/>
  <c r="N111" i="6"/>
  <c r="O111" i="6"/>
  <c r="P111" i="6"/>
  <c r="J112" i="6"/>
  <c r="K112" i="6"/>
  <c r="L112" i="6"/>
  <c r="M112" i="6"/>
  <c r="N112" i="6"/>
  <c r="O112" i="6"/>
  <c r="P112" i="6"/>
  <c r="J113" i="6"/>
  <c r="K113" i="6"/>
  <c r="L113" i="6"/>
  <c r="M113" i="6"/>
  <c r="N113" i="6"/>
  <c r="O113" i="6"/>
  <c r="P113" i="6"/>
  <c r="J114" i="6"/>
  <c r="K114" i="6"/>
  <c r="L114" i="6"/>
  <c r="M114" i="6"/>
  <c r="N114" i="6"/>
  <c r="O114" i="6"/>
  <c r="P114" i="6"/>
  <c r="J115" i="6"/>
  <c r="K115" i="6"/>
  <c r="L115" i="6"/>
  <c r="M115" i="6"/>
  <c r="N115" i="6"/>
  <c r="O115" i="6"/>
  <c r="P115" i="6"/>
  <c r="J116" i="6"/>
  <c r="K116" i="6"/>
  <c r="L116" i="6"/>
  <c r="M116" i="6"/>
  <c r="N116" i="6"/>
  <c r="O116" i="6"/>
  <c r="P116" i="6"/>
  <c r="J117" i="6"/>
  <c r="K117" i="6"/>
  <c r="L117" i="6"/>
  <c r="M117" i="6"/>
  <c r="N117" i="6"/>
  <c r="O117" i="6"/>
  <c r="P117" i="6"/>
  <c r="J118" i="6"/>
  <c r="K118" i="6"/>
  <c r="L118" i="6"/>
  <c r="M118" i="6"/>
  <c r="N118" i="6"/>
  <c r="O118" i="6"/>
  <c r="P118" i="6"/>
  <c r="J119" i="6"/>
  <c r="K119" i="6"/>
  <c r="L119" i="6"/>
  <c r="M119" i="6"/>
  <c r="N119" i="6"/>
  <c r="O119" i="6"/>
  <c r="P119" i="6"/>
  <c r="J120" i="6"/>
  <c r="K120" i="6"/>
  <c r="L120" i="6"/>
  <c r="M120" i="6"/>
  <c r="N120" i="6"/>
  <c r="O120" i="6"/>
  <c r="P120" i="6"/>
  <c r="J121" i="6"/>
  <c r="K121" i="6"/>
  <c r="L121" i="6"/>
  <c r="M121" i="6"/>
  <c r="N121" i="6"/>
  <c r="O121" i="6"/>
  <c r="P121" i="6"/>
  <c r="J122" i="6"/>
  <c r="K122" i="6"/>
  <c r="L122" i="6"/>
  <c r="M122" i="6"/>
  <c r="N122" i="6"/>
  <c r="O122" i="6"/>
  <c r="P122" i="6"/>
  <c r="J123" i="6"/>
  <c r="K123" i="6"/>
  <c r="L123" i="6"/>
  <c r="M123" i="6"/>
  <c r="N123" i="6"/>
  <c r="O123" i="6"/>
  <c r="P123" i="6"/>
  <c r="J124" i="6"/>
  <c r="K124" i="6"/>
  <c r="L124" i="6"/>
  <c r="M124" i="6"/>
  <c r="N124" i="6"/>
  <c r="O124" i="6"/>
  <c r="P124" i="6"/>
  <c r="J125" i="6"/>
  <c r="K125" i="6"/>
  <c r="L125" i="6"/>
  <c r="M125" i="6"/>
  <c r="N125" i="6"/>
  <c r="O125" i="6"/>
  <c r="P125" i="6"/>
  <c r="J126" i="6"/>
  <c r="K126" i="6"/>
  <c r="L126" i="6"/>
  <c r="M126" i="6"/>
  <c r="N126" i="6"/>
  <c r="O126" i="6"/>
  <c r="P126" i="6"/>
  <c r="J127" i="6"/>
  <c r="K127" i="6"/>
  <c r="L127" i="6"/>
  <c r="M127" i="6"/>
  <c r="N127" i="6"/>
  <c r="O127" i="6"/>
  <c r="P127" i="6"/>
  <c r="J128" i="6"/>
  <c r="K128" i="6"/>
  <c r="L128" i="6"/>
  <c r="M128" i="6"/>
  <c r="N128" i="6"/>
  <c r="O128" i="6"/>
  <c r="P128" i="6"/>
  <c r="J129" i="6"/>
  <c r="K129" i="6"/>
  <c r="L129" i="6"/>
  <c r="M129" i="6"/>
  <c r="N129" i="6"/>
  <c r="O129" i="6"/>
  <c r="P129" i="6"/>
  <c r="J130" i="6"/>
  <c r="K130" i="6"/>
  <c r="L130" i="6"/>
  <c r="M130" i="6"/>
  <c r="N130" i="6"/>
  <c r="O130" i="6"/>
  <c r="P130" i="6"/>
  <c r="J131" i="6"/>
  <c r="K131" i="6"/>
  <c r="L131" i="6"/>
  <c r="M131" i="6"/>
  <c r="N131" i="6"/>
  <c r="O131" i="6"/>
  <c r="P131" i="6"/>
  <c r="J132" i="6"/>
  <c r="K132" i="6"/>
  <c r="L132" i="6"/>
  <c r="M132" i="6"/>
  <c r="N132" i="6"/>
  <c r="O132" i="6"/>
  <c r="P132" i="6"/>
  <c r="J133" i="6"/>
  <c r="K133" i="6"/>
  <c r="L133" i="6"/>
  <c r="M133" i="6"/>
  <c r="N133" i="6"/>
  <c r="O133" i="6"/>
  <c r="P133" i="6"/>
  <c r="J134" i="6"/>
  <c r="K134" i="6"/>
  <c r="L134" i="6"/>
  <c r="M134" i="6"/>
  <c r="N134" i="6"/>
  <c r="O134" i="6"/>
  <c r="P134" i="6"/>
  <c r="J135" i="6"/>
  <c r="K135" i="6"/>
  <c r="L135" i="6"/>
  <c r="M135" i="6"/>
  <c r="N135" i="6"/>
  <c r="O135" i="6"/>
  <c r="P135" i="6"/>
  <c r="J136" i="6"/>
  <c r="K136" i="6"/>
  <c r="L136" i="6"/>
  <c r="M136" i="6"/>
  <c r="N136" i="6"/>
  <c r="O136" i="6"/>
  <c r="P136" i="6"/>
  <c r="J137" i="6"/>
  <c r="K137" i="6"/>
  <c r="L137" i="6"/>
  <c r="M137" i="6"/>
  <c r="N137" i="6"/>
  <c r="O137" i="6"/>
  <c r="P137" i="6"/>
  <c r="J138" i="6"/>
  <c r="K138" i="6"/>
  <c r="L138" i="6"/>
  <c r="M138" i="6"/>
  <c r="N138" i="6"/>
  <c r="O138" i="6"/>
  <c r="P138" i="6"/>
  <c r="J139" i="6"/>
  <c r="K139" i="6"/>
  <c r="L139" i="6"/>
  <c r="M139" i="6"/>
  <c r="N139" i="6"/>
  <c r="O139" i="6"/>
  <c r="P139" i="6"/>
  <c r="J140" i="6"/>
  <c r="K140" i="6"/>
  <c r="L140" i="6"/>
  <c r="M140" i="6"/>
  <c r="N140" i="6"/>
  <c r="O140" i="6"/>
  <c r="P140" i="6"/>
  <c r="J141" i="6"/>
  <c r="K141" i="6"/>
  <c r="L141" i="6"/>
  <c r="M141" i="6"/>
  <c r="N141" i="6"/>
  <c r="O141" i="6"/>
  <c r="P141" i="6"/>
  <c r="J142" i="6"/>
  <c r="K142" i="6"/>
  <c r="L142" i="6"/>
  <c r="M142" i="6"/>
  <c r="N142" i="6"/>
  <c r="O142" i="6"/>
  <c r="P142" i="6"/>
  <c r="J143" i="6"/>
  <c r="K143" i="6"/>
  <c r="L143" i="6"/>
  <c r="M143" i="6"/>
  <c r="N143" i="6"/>
  <c r="O143" i="6"/>
  <c r="P143" i="6"/>
  <c r="J144" i="6"/>
  <c r="K144" i="6"/>
  <c r="L144" i="6"/>
  <c r="M144" i="6"/>
  <c r="N144" i="6"/>
  <c r="O144" i="6"/>
  <c r="P144" i="6"/>
  <c r="J145" i="6"/>
  <c r="K145" i="6"/>
  <c r="L145" i="6"/>
  <c r="M145" i="6"/>
  <c r="N145" i="6"/>
  <c r="O145" i="6"/>
  <c r="P145" i="6"/>
  <c r="J146" i="6"/>
  <c r="K146" i="6"/>
  <c r="L146" i="6"/>
  <c r="M146" i="6"/>
  <c r="N146" i="6"/>
  <c r="O146" i="6"/>
  <c r="P146" i="6"/>
  <c r="J147" i="6"/>
  <c r="K147" i="6"/>
  <c r="L147" i="6"/>
  <c r="M147" i="6"/>
  <c r="N147" i="6"/>
  <c r="O147" i="6"/>
  <c r="P147" i="6"/>
  <c r="J148" i="6"/>
  <c r="K148" i="6"/>
  <c r="L148" i="6"/>
  <c r="M148" i="6"/>
  <c r="N148" i="6"/>
  <c r="O148" i="6"/>
  <c r="P148" i="6"/>
  <c r="J149" i="6"/>
  <c r="K149" i="6"/>
  <c r="L149" i="6"/>
  <c r="M149" i="6"/>
  <c r="N149" i="6"/>
  <c r="O149" i="6"/>
  <c r="P149" i="6"/>
  <c r="J150" i="6"/>
  <c r="K150" i="6"/>
  <c r="L150" i="6"/>
  <c r="M150" i="6"/>
  <c r="N150" i="6"/>
  <c r="O150" i="6"/>
  <c r="P150" i="6"/>
  <c r="J151" i="6"/>
  <c r="K151" i="6"/>
  <c r="L151" i="6"/>
  <c r="M151" i="6"/>
  <c r="N151" i="6"/>
  <c r="O151" i="6"/>
  <c r="P151" i="6"/>
  <c r="J152" i="6"/>
  <c r="K152" i="6"/>
  <c r="L152" i="6"/>
  <c r="M152" i="6"/>
  <c r="N152" i="6"/>
  <c r="O152" i="6"/>
  <c r="P152" i="6"/>
  <c r="J153" i="6"/>
  <c r="K153" i="6"/>
  <c r="L153" i="6"/>
  <c r="M153" i="6"/>
  <c r="N153" i="6"/>
  <c r="O153" i="6"/>
  <c r="P153" i="6"/>
  <c r="J154" i="6"/>
  <c r="K154" i="6"/>
  <c r="L154" i="6"/>
  <c r="M154" i="6"/>
  <c r="N154" i="6"/>
  <c r="O154" i="6"/>
  <c r="P154" i="6"/>
  <c r="J155" i="6"/>
  <c r="K155" i="6"/>
  <c r="L155" i="6"/>
  <c r="M155" i="6"/>
  <c r="N155" i="6"/>
  <c r="O155" i="6"/>
  <c r="P155" i="6"/>
  <c r="J156" i="6"/>
  <c r="K156" i="6"/>
  <c r="L156" i="6"/>
  <c r="M156" i="6"/>
  <c r="N156" i="6"/>
  <c r="O156" i="6"/>
  <c r="P156" i="6"/>
  <c r="J157" i="6"/>
  <c r="K157" i="6"/>
  <c r="L157" i="6"/>
  <c r="M157" i="6"/>
  <c r="N157" i="6"/>
  <c r="O157" i="6"/>
  <c r="P157" i="6"/>
  <c r="J158" i="6"/>
  <c r="K158" i="6"/>
  <c r="L158" i="6"/>
  <c r="M158" i="6"/>
  <c r="N158" i="6"/>
  <c r="O158" i="6"/>
  <c r="P158" i="6"/>
  <c r="J159" i="6"/>
  <c r="K159" i="6"/>
  <c r="L159" i="6"/>
  <c r="M159" i="6"/>
  <c r="N159" i="6"/>
  <c r="O159" i="6"/>
  <c r="P159" i="6"/>
  <c r="J160" i="6"/>
  <c r="K160" i="6"/>
  <c r="L160" i="6"/>
  <c r="M160" i="6"/>
  <c r="N160" i="6"/>
  <c r="O160" i="6"/>
  <c r="P160" i="6"/>
  <c r="J161" i="6"/>
  <c r="K161" i="6"/>
  <c r="L161" i="6"/>
  <c r="M161" i="6"/>
  <c r="N161" i="6"/>
  <c r="O161" i="6"/>
  <c r="P161" i="6"/>
  <c r="J162" i="6"/>
  <c r="K162" i="6"/>
  <c r="L162" i="6"/>
  <c r="M162" i="6"/>
  <c r="N162" i="6"/>
  <c r="O162" i="6"/>
  <c r="P162" i="6"/>
  <c r="J163" i="6"/>
  <c r="K163" i="6"/>
  <c r="L163" i="6"/>
  <c r="M163" i="6"/>
  <c r="N163" i="6"/>
  <c r="O163" i="6"/>
  <c r="P163" i="6"/>
  <c r="J164" i="6"/>
  <c r="K164" i="6"/>
  <c r="L164" i="6"/>
  <c r="M164" i="6"/>
  <c r="N164" i="6"/>
  <c r="O164" i="6"/>
  <c r="P164" i="6"/>
  <c r="J165" i="6"/>
  <c r="K165" i="6"/>
  <c r="L165" i="6"/>
  <c r="M165" i="6"/>
  <c r="N165" i="6"/>
  <c r="O165" i="6"/>
  <c r="P165" i="6"/>
  <c r="J166" i="6"/>
  <c r="K166" i="6"/>
  <c r="L166" i="6"/>
  <c r="M166" i="6"/>
  <c r="N166" i="6"/>
  <c r="O166" i="6"/>
  <c r="P166" i="6"/>
  <c r="J167" i="6"/>
  <c r="K167" i="6"/>
  <c r="L167" i="6"/>
  <c r="M167" i="6"/>
  <c r="N167" i="6"/>
  <c r="O167" i="6"/>
  <c r="P167" i="6"/>
  <c r="J168" i="6"/>
  <c r="K168" i="6"/>
  <c r="L168" i="6"/>
  <c r="M168" i="6"/>
  <c r="N168" i="6"/>
  <c r="O168" i="6"/>
  <c r="P168" i="6"/>
  <c r="J169" i="6"/>
  <c r="K169" i="6"/>
  <c r="L169" i="6"/>
  <c r="M169" i="6"/>
  <c r="N169" i="6"/>
  <c r="O169" i="6"/>
  <c r="P169" i="6"/>
  <c r="J170" i="6"/>
  <c r="K170" i="6"/>
  <c r="L170" i="6"/>
  <c r="M170" i="6"/>
  <c r="N170" i="6"/>
  <c r="O170" i="6"/>
  <c r="P170" i="6"/>
  <c r="J171" i="6"/>
  <c r="K171" i="6"/>
  <c r="L171" i="6"/>
  <c r="M171" i="6"/>
  <c r="N171" i="6"/>
  <c r="O171" i="6"/>
  <c r="P171" i="6"/>
  <c r="J172" i="6"/>
  <c r="K172" i="6"/>
  <c r="L172" i="6"/>
  <c r="M172" i="6"/>
  <c r="N172" i="6"/>
  <c r="O172" i="6"/>
  <c r="P172" i="6"/>
  <c r="J173" i="6"/>
  <c r="K173" i="6"/>
  <c r="L173" i="6"/>
  <c r="M173" i="6"/>
  <c r="N173" i="6"/>
  <c r="O173" i="6"/>
  <c r="P173" i="6"/>
  <c r="J174" i="6"/>
  <c r="K174" i="6"/>
  <c r="L174" i="6"/>
  <c r="M174" i="6"/>
  <c r="N174" i="6"/>
  <c r="O174" i="6"/>
  <c r="P174" i="6"/>
  <c r="J175" i="6"/>
  <c r="K175" i="6"/>
  <c r="L175" i="6"/>
  <c r="M175" i="6"/>
  <c r="N175" i="6"/>
  <c r="O175" i="6"/>
  <c r="P175" i="6"/>
  <c r="J176" i="6"/>
  <c r="K176" i="6"/>
  <c r="L176" i="6"/>
  <c r="M176" i="6"/>
  <c r="N176" i="6"/>
  <c r="O176" i="6"/>
  <c r="P176" i="6"/>
  <c r="J177" i="6"/>
  <c r="K177" i="6"/>
  <c r="L177" i="6"/>
  <c r="M177" i="6"/>
  <c r="N177" i="6"/>
  <c r="O177" i="6"/>
  <c r="P177" i="6"/>
  <c r="J178" i="6"/>
  <c r="K178" i="6"/>
  <c r="L178" i="6"/>
  <c r="M178" i="6"/>
  <c r="N178" i="6"/>
  <c r="O178" i="6"/>
  <c r="P178" i="6"/>
  <c r="J179" i="6"/>
  <c r="K179" i="6"/>
  <c r="L179" i="6"/>
  <c r="M179" i="6"/>
  <c r="N179" i="6"/>
  <c r="O179" i="6"/>
  <c r="P179" i="6"/>
  <c r="J180" i="6"/>
  <c r="K180" i="6"/>
  <c r="L180" i="6"/>
  <c r="M180" i="6"/>
  <c r="N180" i="6"/>
  <c r="O180" i="6"/>
  <c r="P180" i="6"/>
  <c r="J181" i="6"/>
  <c r="K181" i="6"/>
  <c r="L181" i="6"/>
  <c r="M181" i="6"/>
  <c r="N181" i="6"/>
  <c r="O181" i="6"/>
  <c r="P181" i="6"/>
  <c r="J182" i="6"/>
  <c r="K182" i="6"/>
  <c r="L182" i="6"/>
  <c r="M182" i="6"/>
  <c r="N182" i="6"/>
  <c r="O182" i="6"/>
  <c r="P182" i="6"/>
  <c r="J183" i="6"/>
  <c r="K183" i="6"/>
  <c r="L183" i="6"/>
  <c r="M183" i="6"/>
  <c r="N183" i="6"/>
  <c r="O183" i="6"/>
  <c r="P183" i="6"/>
  <c r="J184" i="6"/>
  <c r="K184" i="6"/>
  <c r="L184" i="6"/>
  <c r="M184" i="6"/>
  <c r="N184" i="6"/>
  <c r="O184" i="6"/>
  <c r="P184" i="6"/>
  <c r="J185" i="6"/>
  <c r="K185" i="6"/>
  <c r="L185" i="6"/>
  <c r="M185" i="6"/>
  <c r="N185" i="6"/>
  <c r="O185" i="6"/>
  <c r="P185" i="6"/>
  <c r="J186" i="6"/>
  <c r="K186" i="6"/>
  <c r="L186" i="6"/>
  <c r="M186" i="6"/>
  <c r="N186" i="6"/>
  <c r="O186" i="6"/>
  <c r="P186" i="6"/>
  <c r="J187" i="6"/>
  <c r="K187" i="6"/>
  <c r="L187" i="6"/>
  <c r="M187" i="6"/>
  <c r="N187" i="6"/>
  <c r="O187" i="6"/>
  <c r="P187" i="6"/>
  <c r="J188" i="6"/>
  <c r="K188" i="6"/>
  <c r="L188" i="6"/>
  <c r="M188" i="6"/>
  <c r="N188" i="6"/>
  <c r="O188" i="6"/>
  <c r="P188" i="6"/>
  <c r="J189" i="6"/>
  <c r="K189" i="6"/>
  <c r="L189" i="6"/>
  <c r="M189" i="6"/>
  <c r="N189" i="6"/>
  <c r="O189" i="6"/>
  <c r="P189" i="6"/>
  <c r="J190" i="6"/>
  <c r="K190" i="6"/>
  <c r="L190" i="6"/>
  <c r="M190" i="6"/>
  <c r="N190" i="6"/>
  <c r="O190" i="6"/>
  <c r="P190" i="6"/>
  <c r="J191" i="6"/>
  <c r="K191" i="6"/>
  <c r="L191" i="6"/>
  <c r="M191" i="6"/>
  <c r="N191" i="6"/>
  <c r="O191" i="6"/>
  <c r="P191" i="6"/>
  <c r="J192" i="6"/>
  <c r="K192" i="6"/>
  <c r="L192" i="6"/>
  <c r="M192" i="6"/>
  <c r="N192" i="6"/>
  <c r="O192" i="6"/>
  <c r="P192" i="6"/>
  <c r="J193" i="6"/>
  <c r="K193" i="6"/>
  <c r="L193" i="6"/>
  <c r="M193" i="6"/>
  <c r="N193" i="6"/>
  <c r="O193" i="6"/>
  <c r="P193" i="6"/>
  <c r="J194" i="6"/>
  <c r="K194" i="6"/>
  <c r="L194" i="6"/>
  <c r="M194" i="6"/>
  <c r="N194" i="6"/>
  <c r="O194" i="6"/>
  <c r="P194" i="6"/>
  <c r="J195" i="6"/>
  <c r="K195" i="6"/>
  <c r="L195" i="6"/>
  <c r="M195" i="6"/>
  <c r="N195" i="6"/>
  <c r="O195" i="6"/>
  <c r="P195" i="6"/>
  <c r="J196" i="6"/>
  <c r="K196" i="6"/>
  <c r="L196" i="6"/>
  <c r="M196" i="6"/>
  <c r="N196" i="6"/>
  <c r="O196" i="6"/>
  <c r="P196" i="6"/>
  <c r="J197" i="6"/>
  <c r="K197" i="6"/>
  <c r="L197" i="6"/>
  <c r="M197" i="6"/>
  <c r="N197" i="6"/>
  <c r="O197" i="6"/>
  <c r="P197" i="6"/>
  <c r="J198" i="6"/>
  <c r="K198" i="6"/>
  <c r="L198" i="6"/>
  <c r="M198" i="6"/>
  <c r="N198" i="6"/>
  <c r="O198" i="6"/>
  <c r="P198" i="6"/>
  <c r="J199" i="6"/>
  <c r="K199" i="6"/>
  <c r="L199" i="6"/>
  <c r="M199" i="6"/>
  <c r="N199" i="6"/>
  <c r="O199" i="6"/>
  <c r="P199" i="6"/>
  <c r="J200" i="6"/>
  <c r="K200" i="6"/>
  <c r="L200" i="6"/>
  <c r="M200" i="6"/>
  <c r="N200" i="6"/>
  <c r="O200" i="6"/>
  <c r="P200" i="6"/>
  <c r="O2" i="6" l="1"/>
  <c r="AB2" i="6" s="1"/>
  <c r="M2" i="6"/>
  <c r="Z2" i="6" s="1"/>
  <c r="L2" i="6"/>
  <c r="Y2" i="6" s="1"/>
  <c r="U2" i="6"/>
  <c r="Q2" i="6"/>
  <c r="N2" i="6"/>
  <c r="AA2" i="6" s="1"/>
  <c r="K2" i="6"/>
  <c r="X2" i="6" s="1"/>
  <c r="W2" i="6"/>
  <c r="P2" i="6"/>
  <c r="AC2" i="6" s="1"/>
  <c r="AD2" i="6" l="1"/>
  <c r="D12" i="3"/>
  <c r="E12" i="3"/>
</calcChain>
</file>

<file path=xl/connections.xml><?xml version="1.0" encoding="utf-8"?>
<connections xmlns="http://schemas.openxmlformats.org/spreadsheetml/2006/main">
  <connection id="1" name="Connection" type="4" refreshedVersion="6" background="1" saveData="1">
    <webPr sourceData="1" parsePre="1" consecutive="1" xl2000="1" url="http://rotoguru1.com/cgi-bin/stats.cgi?pos=0&amp;sort=4&amp;game=y&amp;colA=0&amp;daypt=0&amp;denom=1&amp;xavg=0&amp;inact=0&amp;maxprc=99999&amp;sched=1&amp;starters=1&amp;hithand=0&amp;numlist=z" htmlTables="1">
      <tables count="1">
        <x v="4"/>
      </tables>
    </webPr>
  </connection>
  <connection id="2" name="Connection10" type="4" refreshedVersion="6" background="1" saveData="1">
    <webPr sourceData="1" parsePre="1" consecutive="1" xl2000="1" url="http://rotoguru1.com/cgi-bin/stats.cgi?pos=0&amp;sort=4&amp;game=y&amp;colA=0&amp;daypt=0&amp;denom=1&amp;xavg=0&amp;inact=0&amp;maxprc=99999&amp;sched=1&amp;starters=1&amp;hithand=0&amp;numlist=z" htmlTables="1">
      <tables count="1">
        <x v="4"/>
      </tables>
    </webPr>
  </connection>
  <connection id="3" name="Connection8" type="4" refreshedVersion="6" background="1" saveData="1">
    <webPr sourceData="1" parsePre="1" consecutive="1" xl2000="1" url="http://rotoguru1.com/cgi-bin/stats.cgi?pos=0&amp;sort=4&amp;game=y&amp;colA=0&amp;daypt=0&amp;denom=1&amp;xavg=0&amp;inact=0&amp;maxprc=99999&amp;sched=1&amp;starters=1&amp;hithand=0&amp;numlist=z" htmlTables="1">
      <tables count="1">
        <x v="4"/>
      </tables>
    </webPr>
  </connection>
  <connection id="4" name="Connection9" type="4" refreshedVersion="6" background="1" saveData="1">
    <webPr sourceData="1" parsePre="1" consecutive="1" xl2000="1" url="http://rotoguru1.com/cgi-bin/stats.cgi?pos=0&amp;sort=4&amp;game=y&amp;colA=0&amp;daypt=0&amp;denom=1&amp;xavg=0&amp;inact=0&amp;maxprc=99999&amp;sched=1&amp;starters=1&amp;hithand=0&amp;numlist=z" htmlTables="1">
      <tables count="1">
        <x v="4"/>
      </tables>
    </webPr>
  </connection>
</connections>
</file>

<file path=xl/sharedStrings.xml><?xml version="1.0" encoding="utf-8"?>
<sst xmlns="http://schemas.openxmlformats.org/spreadsheetml/2006/main" count="1327" uniqueCount="459">
  <si>
    <t>Salary</t>
  </si>
  <si>
    <t>C</t>
  </si>
  <si>
    <t>Player</t>
  </si>
  <si>
    <t>RotoGuru.net</t>
  </si>
  <si>
    <t>Pos</t>
  </si>
  <si>
    <t>Name</t>
  </si>
  <si>
    <t>Team</t>
  </si>
  <si>
    <t>Selected</t>
  </si>
  <si>
    <t>Proj Points</t>
  </si>
  <si>
    <t>Max Salary</t>
  </si>
  <si>
    <t>Odor, Rougned</t>
  </si>
  <si>
    <t>Grandal, Yasmani</t>
  </si>
  <si>
    <t>Davis, Khris</t>
  </si>
  <si>
    <t>Morrison, Logan</t>
  </si>
  <si>
    <t>Trout, Mike</t>
  </si>
  <si>
    <t>Longoria, Evan</t>
  </si>
  <si>
    <t>Turner, Justin</t>
  </si>
  <si>
    <t>Kiermaier, Kevin</t>
  </si>
  <si>
    <t>Seager, Corey</t>
  </si>
  <si>
    <t>Contreras, Willson</t>
  </si>
  <si>
    <t>Encarnacion, Edwin</t>
  </si>
  <si>
    <t>Ramirez, Jose</t>
  </si>
  <si>
    <t>Santana, Carlos</t>
  </si>
  <si>
    <t>Vogt, Stephen</t>
  </si>
  <si>
    <t>Almonte, Abraham</t>
  </si>
  <si>
    <t>Gonzalez, Adrian</t>
  </si>
  <si>
    <t>Thames, Eric</t>
  </si>
  <si>
    <t>Gomez, Carlos</t>
  </si>
  <si>
    <t>Headley, Chase</t>
  </si>
  <si>
    <t>Andrus, Elvis</t>
  </si>
  <si>
    <t>Castro, Starlin</t>
  </si>
  <si>
    <t>Villar, Jonathan</t>
  </si>
  <si>
    <t>Lowrie, Jed</t>
  </si>
  <si>
    <t>Puig, Yasiel</t>
  </si>
  <si>
    <t>Santana, Domingo</t>
  </si>
  <si>
    <t>Shaw, Travis</t>
  </si>
  <si>
    <t>Mazara, Nomar</t>
  </si>
  <si>
    <t>Toles, Andrew</t>
  </si>
  <si>
    <t>Alonso, Yonder</t>
  </si>
  <si>
    <t>Lindor, Francisco</t>
  </si>
  <si>
    <t>Calhoun, Kole</t>
  </si>
  <si>
    <t>Schwarber, Kyle</t>
  </si>
  <si>
    <t>Arcia, Orlando</t>
  </si>
  <si>
    <t>Judge, Aaron</t>
  </si>
  <si>
    <t>Zobrist, Ben</t>
  </si>
  <si>
    <t>Brantley, Michael</t>
  </si>
  <si>
    <t>Heyward, Jason</t>
  </si>
  <si>
    <t>Plouffe, Trevor</t>
  </si>
  <si>
    <t>Beckham, Tim</t>
  </si>
  <si>
    <t>Miller, Brad</t>
  </si>
  <si>
    <t>Cron, C.J.</t>
  </si>
  <si>
    <t>Broxton, Keon</t>
  </si>
  <si>
    <t>Napoli, Mike</t>
  </si>
  <si>
    <t>Escobar, Yunel</t>
  </si>
  <si>
    <t>Gardner, Brett</t>
  </si>
  <si>
    <t>Norris, Derek</t>
  </si>
  <si>
    <t>Simmons, Andrelton</t>
  </si>
  <si>
    <t>Dickerson, Corey</t>
  </si>
  <si>
    <t>Baez, Javier</t>
  </si>
  <si>
    <t>Gallo, Joey</t>
  </si>
  <si>
    <t>Bandy, Jett</t>
  </si>
  <si>
    <t>Torreyes, Ronald</t>
  </si>
  <si>
    <t>Cabrera, Melky</t>
  </si>
  <si>
    <t>Choo, Shin-Soo</t>
  </si>
  <si>
    <t>Pujols, Albert</t>
  </si>
  <si>
    <t>Utley, Chase</t>
  </si>
  <si>
    <t>Weeks, Rickie</t>
  </si>
  <si>
    <t>Montero, Miguel</t>
  </si>
  <si>
    <t>Ellsbury, Jacoby</t>
  </si>
  <si>
    <t>Joyce, Matt</t>
  </si>
  <si>
    <t>Rosales, Adam</t>
  </si>
  <si>
    <t>Pennington, Cliff</t>
  </si>
  <si>
    <t>Jackson, Austin</t>
  </si>
  <si>
    <t>Frazier, Todd</t>
  </si>
  <si>
    <t>Carter, Chris</t>
  </si>
  <si>
    <t>Jay, Jon</t>
  </si>
  <si>
    <t>Lucroy, Jonathan</t>
  </si>
  <si>
    <t>Bourjos, Peter</t>
  </si>
  <si>
    <t>Revere, Ben</t>
  </si>
  <si>
    <t>Rizzo, Anthony</t>
  </si>
  <si>
    <t>Martinez, Michael</t>
  </si>
  <si>
    <t>Guyer, Brandon</t>
  </si>
  <si>
    <t>Kozma, Pete</t>
  </si>
  <si>
    <t>Chirinos, Robinson</t>
  </si>
  <si>
    <t>Pina, Manny</t>
  </si>
  <si>
    <t>Romine, Austin</t>
  </si>
  <si>
    <t>Van Slyke, Scott</t>
  </si>
  <si>
    <t>Gomes, Yan</t>
  </si>
  <si>
    <t>Perez, Hernan</t>
  </si>
  <si>
    <t>Garcia, Avisail</t>
  </si>
  <si>
    <t>Hicks, Aaron</t>
  </si>
  <si>
    <t>Garcia, Leury</t>
  </si>
  <si>
    <t>Sucre, Jesus</t>
  </si>
  <si>
    <t>Phegley, Josh</t>
  </si>
  <si>
    <t>Asche, Cody</t>
  </si>
  <si>
    <t>Davidson, Matt</t>
  </si>
  <si>
    <t>Szczur, Matt</t>
  </si>
  <si>
    <t>Abreu, Jose</t>
  </si>
  <si>
    <t>Sanchez, Carlos</t>
  </si>
  <si>
    <t>Aguilar, Jesus</t>
  </si>
  <si>
    <t>Souza Jr., Steven</t>
  </si>
  <si>
    <t>Hernandez, Kike</t>
  </si>
  <si>
    <t>Perez, Roberto</t>
  </si>
  <si>
    <t>Rua, Ryan</t>
  </si>
  <si>
    <t>P</t>
  </si>
  <si>
    <t>1B</t>
  </si>
  <si>
    <t>2B</t>
  </si>
  <si>
    <t>SS</t>
  </si>
  <si>
    <t>3B</t>
  </si>
  <si>
    <t>OF</t>
  </si>
  <si>
    <t>Listbox Name</t>
  </si>
  <si>
    <t>Average PPG</t>
  </si>
  <si>
    <t>Totals</t>
  </si>
  <si>
    <t>Ozuna, Marcell</t>
  </si>
  <si>
    <t>Realmuto, J.T.</t>
  </si>
  <si>
    <t>Sano, Miguel</t>
  </si>
  <si>
    <t>Castro, Jason</t>
  </si>
  <si>
    <t>Yelich, Christian</t>
  </si>
  <si>
    <t>Holliday, Matt</t>
  </si>
  <si>
    <t>Russell, Addison</t>
  </si>
  <si>
    <t>Braun, Ryan</t>
  </si>
  <si>
    <t>Benintendi, Andrew</t>
  </si>
  <si>
    <t>Leon, Sandy</t>
  </si>
  <si>
    <t>Polanco, Jorge</t>
  </si>
  <si>
    <t>Bryant, Kris</t>
  </si>
  <si>
    <t>Espinosa, Danny</t>
  </si>
  <si>
    <t>Dozier, Brian</t>
  </si>
  <si>
    <t>Cervelli, Francisco</t>
  </si>
  <si>
    <t>Escobar, Eduardo</t>
  </si>
  <si>
    <t>Vazquez, Christian</t>
  </si>
  <si>
    <t>Young, Chris</t>
  </si>
  <si>
    <t>Moreland, Mitch</t>
  </si>
  <si>
    <t>Gordon, Dee</t>
  </si>
  <si>
    <t>Maybin, Cameron</t>
  </si>
  <si>
    <t>Pedroia, Dustin</t>
  </si>
  <si>
    <t>Dietrich, Derek</t>
  </si>
  <si>
    <t>Healy, Ryon</t>
  </si>
  <si>
    <t>Polanco, Gregory</t>
  </si>
  <si>
    <t>Freese, David</t>
  </si>
  <si>
    <t>Grossman, Robbie</t>
  </si>
  <si>
    <t>Saladino, Tyler</t>
  </si>
  <si>
    <t>Marte, Jefry</t>
  </si>
  <si>
    <t>Rojas, Miguel</t>
  </si>
  <si>
    <t>Barnes, Austin</t>
  </si>
  <si>
    <t>Mercer, Jordy</t>
  </si>
  <si>
    <t>Mauer, Joe</t>
  </si>
  <si>
    <t>Stanton, Giancarlo</t>
  </si>
  <si>
    <t>Harrison, Josh</t>
  </si>
  <si>
    <t>Bour, Justin</t>
  </si>
  <si>
    <t>Bell, Josh</t>
  </si>
  <si>
    <t>Almora, Albert</t>
  </si>
  <si>
    <t>Maldonado, Martin</t>
  </si>
  <si>
    <t>Franklin, Nick</t>
  </si>
  <si>
    <t>Kepler, Max</t>
  </si>
  <si>
    <t>Betts, Mookie</t>
  </si>
  <si>
    <t>Rosario, Eddie</t>
  </si>
  <si>
    <t>Hernandez, Marco</t>
  </si>
  <si>
    <t>Anderson, Tim</t>
  </si>
  <si>
    <t>McCutchen, Andrew</t>
  </si>
  <si>
    <t>Gimenez, Chris</t>
  </si>
  <si>
    <t>Bogaerts, Xander</t>
  </si>
  <si>
    <t>Ramirez, Hanley</t>
  </si>
  <si>
    <t>May, Jacob</t>
  </si>
  <si>
    <t>Robertson, Daniel</t>
  </si>
  <si>
    <t>Stewart, Chris</t>
  </si>
  <si>
    <t>Jaso, John</t>
  </si>
  <si>
    <t>DeShields Jr., Delino</t>
  </si>
  <si>
    <t>Selsky, Steve</t>
  </si>
  <si>
    <t>Narvaez, Omar</t>
  </si>
  <si>
    <t>Suzuki, Ichiro</t>
  </si>
  <si>
    <t>Ellis, A.J.</t>
  </si>
  <si>
    <t>Profar, Jurickson</t>
  </si>
  <si>
    <t>Gosselin, Phillip</t>
  </si>
  <si>
    <t>Santana, Danny</t>
  </si>
  <si>
    <t>Hanson, Alen</t>
  </si>
  <si>
    <t>Higashioka, Kyle</t>
  </si>
  <si>
    <t>Bird, Gregory</t>
  </si>
  <si>
    <t>Buxton, Byron</t>
  </si>
  <si>
    <t>Haniger, Mitch</t>
  </si>
  <si>
    <t>Myers, Wil</t>
  </si>
  <si>
    <t>Springer, George</t>
  </si>
  <si>
    <t>Lamb, Jake</t>
  </si>
  <si>
    <t>Goldschmidt, Paul</t>
  </si>
  <si>
    <t>Phillips, Brandon</t>
  </si>
  <si>
    <t>Inciarte, Ender</t>
  </si>
  <si>
    <t>Solarte, Yangervis</t>
  </si>
  <si>
    <t>Margot, Manuel</t>
  </si>
  <si>
    <t>Freeman, Freddie</t>
  </si>
  <si>
    <t>Diaz, Aledmys</t>
  </si>
  <si>
    <t>Altuve, Jose</t>
  </si>
  <si>
    <t>Owings, Chris</t>
  </si>
  <si>
    <t>Markakis, Nick</t>
  </si>
  <si>
    <t>Cano, Robinson</t>
  </si>
  <si>
    <t>Seager, Kyle</t>
  </si>
  <si>
    <t>Pollock, A.J.</t>
  </si>
  <si>
    <t>Renfroe, Hunter</t>
  </si>
  <si>
    <t>McCann, Brian</t>
  </si>
  <si>
    <t>Piscotty, Stephen</t>
  </si>
  <si>
    <t>Schimpf, Ryan</t>
  </si>
  <si>
    <t>Gonzalez, Marwin</t>
  </si>
  <si>
    <t>Molina, Yadier</t>
  </si>
  <si>
    <t>Tomas, Yasmany</t>
  </si>
  <si>
    <t>Drury, Brandon</t>
  </si>
  <si>
    <t>Motter, Taylor</t>
  </si>
  <si>
    <t>Cruz, Nelson</t>
  </si>
  <si>
    <t>Dyson, Jarrod</t>
  </si>
  <si>
    <t>Correa, Carlos</t>
  </si>
  <si>
    <t>Bregman, Alex</t>
  </si>
  <si>
    <t>Aoki, Norichika</t>
  </si>
  <si>
    <t>Peralta, David</t>
  </si>
  <si>
    <t>Flowers, Tyler</t>
  </si>
  <si>
    <t>Beltran, Carlos</t>
  </si>
  <si>
    <t>Gyorko, Jedd</t>
  </si>
  <si>
    <t>Grichuk, Randal</t>
  </si>
  <si>
    <t>Garcia, Adonis</t>
  </si>
  <si>
    <t>Reddick, Josh</t>
  </si>
  <si>
    <t>Chisenhall, Lonnie</t>
  </si>
  <si>
    <t>Ahmed, Nick</t>
  </si>
  <si>
    <t>Gattis, Evan</t>
  </si>
  <si>
    <t>Heredia, Guillermo</t>
  </si>
  <si>
    <t>Aybar, Erick</t>
  </si>
  <si>
    <t>Fowler, Dexter</t>
  </si>
  <si>
    <t>Valencia, Danny</t>
  </si>
  <si>
    <t>Wong, Kolten</t>
  </si>
  <si>
    <t>Peterson, Shane</t>
  </si>
  <si>
    <t>Mathis, Jeff</t>
  </si>
  <si>
    <t>Iannetta, Chris</t>
  </si>
  <si>
    <t>Decker, Jaff</t>
  </si>
  <si>
    <t>Gurriel, Yulieski</t>
  </si>
  <si>
    <t>Ruiz, Carlos</t>
  </si>
  <si>
    <t>Peterson, Jace</t>
  </si>
  <si>
    <t>Swanson, Dansby</t>
  </si>
  <si>
    <t>Hedges, Austin</t>
  </si>
  <si>
    <t>Suzuki, Kurt</t>
  </si>
  <si>
    <t>Descalso, Daniel</t>
  </si>
  <si>
    <t>Garcia, Greg</t>
  </si>
  <si>
    <t>Hazelbaker, Jeremy</t>
  </si>
  <si>
    <t>Herrmann, Chris</t>
  </si>
  <si>
    <t>Zunino, Mike</t>
  </si>
  <si>
    <t>Martinez, Jose</t>
  </si>
  <si>
    <t>Cordoba, Allen</t>
  </si>
  <si>
    <t>Adams, Matt</t>
  </si>
  <si>
    <t>Sardinas, Luis</t>
  </si>
  <si>
    <t>Torrens, Luis</t>
  </si>
  <si>
    <t>Bonifacio, Emilio</t>
  </si>
  <si>
    <t>Fryer, Eric</t>
  </si>
  <si>
    <t>Recker, Anthony</t>
  </si>
  <si>
    <t>Pinder, Chad</t>
  </si>
  <si>
    <t>Sanchez, Hector</t>
  </si>
  <si>
    <t>($)</t>
  </si>
  <si>
    <t>/GP</t>
  </si>
  <si>
    <t>GP/$</t>
  </si>
  <si>
    <t>YHP/GP</t>
  </si>
  <si>
    <t>game</t>
  </si>
  <si>
    <t>Ago</t>
  </si>
  <si>
    <t>Mil</t>
  </si>
  <si>
    <t>Tex</t>
  </si>
  <si>
    <t>Cle</t>
  </si>
  <si>
    <t>Fla</t>
  </si>
  <si>
    <t>Harper, Bryce</t>
  </si>
  <si>
    <t>Was</t>
  </si>
  <si>
    <t>Sea</t>
  </si>
  <si>
    <t>Suarez, Eugenio</t>
  </si>
  <si>
    <t>Cin</t>
  </si>
  <si>
    <t>Atl</t>
  </si>
  <si>
    <t>Los</t>
  </si>
  <si>
    <t>Sdg</t>
  </si>
  <si>
    <t>Hernandez, Cesar</t>
  </si>
  <si>
    <t>Phi</t>
  </si>
  <si>
    <t>Cespedes, Yoenis</t>
  </si>
  <si>
    <t>NYM</t>
  </si>
  <si>
    <t>Oak</t>
  </si>
  <si>
    <t>Ari</t>
  </si>
  <si>
    <t>NYY</t>
  </si>
  <si>
    <t>Murphy, Dan</t>
  </si>
  <si>
    <t>Ana</t>
  </si>
  <si>
    <t>Arenado, Nolan</t>
  </si>
  <si>
    <t>Col</t>
  </si>
  <si>
    <t>Min</t>
  </si>
  <si>
    <t>Hou</t>
  </si>
  <si>
    <t>Reynolds, Mark</t>
  </si>
  <si>
    <t>Bruce, Jay</t>
  </si>
  <si>
    <t>ChW</t>
  </si>
  <si>
    <t>Tam</t>
  </si>
  <si>
    <t>Bos</t>
  </si>
  <si>
    <t>Belt, Brandon</t>
  </si>
  <si>
    <t>Sfo</t>
  </si>
  <si>
    <t>Eaton, Adam</t>
  </si>
  <si>
    <t>Cabrera, Asdrubal</t>
  </si>
  <si>
    <t>Crawford, Brandon</t>
  </si>
  <si>
    <t>Moustakas, Mike</t>
  </si>
  <si>
    <t>Kan</t>
  </si>
  <si>
    <t>Cozart, Zack</t>
  </si>
  <si>
    <t>Duvall, Adam</t>
  </si>
  <si>
    <t>ChC</t>
  </si>
  <si>
    <t>Zimmerman, Ryan</t>
  </si>
  <si>
    <t>Votto, Joey</t>
  </si>
  <si>
    <t>Perez, Salvador</t>
  </si>
  <si>
    <t>d'Arnaud, Travis</t>
  </si>
  <si>
    <t>StL</t>
  </si>
  <si>
    <t>Nunez, Eduardo</t>
  </si>
  <si>
    <t>Pence, Hunter</t>
  </si>
  <si>
    <t>Blackmon, Charlie</t>
  </si>
  <si>
    <t>Schoop, Jonathan</t>
  </si>
  <si>
    <t>Bal</t>
  </si>
  <si>
    <t>Gennett, Scooter</t>
  </si>
  <si>
    <t>Mancini, Trey</t>
  </si>
  <si>
    <t>Schebler, Scott</t>
  </si>
  <si>
    <t>Pit</t>
  </si>
  <si>
    <t>Cain, Lorenzo</t>
  </si>
  <si>
    <t>Castellanos, Nick</t>
  </si>
  <si>
    <t>Det</t>
  </si>
  <si>
    <t>LeMahieu, D.J.</t>
  </si>
  <si>
    <t>Jones, Adam</t>
  </si>
  <si>
    <t>Tor</t>
  </si>
  <si>
    <t>Davis, Chris</t>
  </si>
  <si>
    <t>Panik, Joe</t>
  </si>
  <si>
    <t>Peraza, Jose</t>
  </si>
  <si>
    <t>Kinsler, Ian</t>
  </si>
  <si>
    <t>Morales, Kendrys</t>
  </si>
  <si>
    <t>Hamilton, Billy</t>
  </si>
  <si>
    <t>Werth, Jayson</t>
  </si>
  <si>
    <t>Upton, Justin</t>
  </si>
  <si>
    <t>Franco, Maikel</t>
  </si>
  <si>
    <t>Wieters, Matt</t>
  </si>
  <si>
    <t>Machado, Manny</t>
  </si>
  <si>
    <t>Galvis, Freddy</t>
  </si>
  <si>
    <t>Conforto, Michael</t>
  </si>
  <si>
    <t>Smith, Seth</t>
  </si>
  <si>
    <t>Nava, Daniel</t>
  </si>
  <si>
    <t>Walker, Neil</t>
  </si>
  <si>
    <t>Trumbo, Mark</t>
  </si>
  <si>
    <t>Avila, Alex</t>
  </si>
  <si>
    <t>Parra, Gerardo</t>
  </si>
  <si>
    <t>Herrera, Odubel</t>
  </si>
  <si>
    <t>McCann, James</t>
  </si>
  <si>
    <t>Hardy, J.J.</t>
  </si>
  <si>
    <t>SP</t>
  </si>
  <si>
    <t>Lind, Adam</t>
  </si>
  <si>
    <t>Saunders, Michael</t>
  </si>
  <si>
    <t>Joseph, Tommy</t>
  </si>
  <si>
    <t>Pillar, Kevin</t>
  </si>
  <si>
    <t>Span, Denard</t>
  </si>
  <si>
    <t>Gonzalez, Carlos</t>
  </si>
  <si>
    <t>Romine, Andrew</t>
  </si>
  <si>
    <t>Barnhart, Tucker</t>
  </si>
  <si>
    <t>Collins, Tyler</t>
  </si>
  <si>
    <t>Granderson, Curtis</t>
  </si>
  <si>
    <t>Gordon, Alex</t>
  </si>
  <si>
    <t>Hundley, Nick</t>
  </si>
  <si>
    <t>Smoak, Justin</t>
  </si>
  <si>
    <t>Castillo, Welington</t>
  </si>
  <si>
    <t>Hosmer, Eric</t>
  </si>
  <si>
    <t>Story, Trevor</t>
  </si>
  <si>
    <t>Bautista, Jose</t>
  </si>
  <si>
    <t>Severino, Luis</t>
  </si>
  <si>
    <t>Rupp, Cameron</t>
  </si>
  <si>
    <t>Wolters, Tony</t>
  </si>
  <si>
    <t>Martinez, Victor</t>
  </si>
  <si>
    <t>Moss, Brandon</t>
  </si>
  <si>
    <t>Rendon, Anthony</t>
  </si>
  <si>
    <t>Altherr, Aaron</t>
  </si>
  <si>
    <t>Heisey, Chris</t>
  </si>
  <si>
    <t>Escobar, Alcides</t>
  </si>
  <si>
    <t>Gentry, Craig</t>
  </si>
  <si>
    <t>Barney, Darwin</t>
  </si>
  <si>
    <t>Gillaspie, Conor</t>
  </si>
  <si>
    <t>Garneau, Dustin</t>
  </si>
  <si>
    <t>Kim, Hyun-Soo</t>
  </si>
  <si>
    <t>Stassi, Brock</t>
  </si>
  <si>
    <t>Blanco, Andres</t>
  </si>
  <si>
    <t>Martin, Russell</t>
  </si>
  <si>
    <t>Carrera, Ezequiel</t>
  </si>
  <si>
    <t>Cuthbert, Cheslor</t>
  </si>
  <si>
    <t>Chen, Wei-Yin</t>
  </si>
  <si>
    <t>Hernandez, Gorkys</t>
  </si>
  <si>
    <t>Goins, Ryan</t>
  </si>
  <si>
    <t>Mahtook, Mikie</t>
  </si>
  <si>
    <t>Knapp, Andrew</t>
  </si>
  <si>
    <t>Reyes, Jose</t>
  </si>
  <si>
    <t>Travis, Devon</t>
  </si>
  <si>
    <t>Coghlan, Chris</t>
  </si>
  <si>
    <t>Difo, Wilmer</t>
  </si>
  <si>
    <t>Turner, Stuart</t>
  </si>
  <si>
    <t>Rivera, Rene</t>
  </si>
  <si>
    <t>Lobaton, Jose</t>
  </si>
  <si>
    <t>Amarista, Alexi</t>
  </si>
  <si>
    <t>Lagares, Juan</t>
  </si>
  <si>
    <t>Prado, Martin</t>
  </si>
  <si>
    <t>Pearce, Steven</t>
  </si>
  <si>
    <t>Kivlehan, Patrick</t>
  </si>
  <si>
    <t>Butera, Drew</t>
  </si>
  <si>
    <t>Flaherty, Ryan</t>
  </si>
  <si>
    <t>Colon, Christian</t>
  </si>
  <si>
    <t>Taylor, Michael A.</t>
  </si>
  <si>
    <t>Kelly, Ty</t>
  </si>
  <si>
    <t>Machado, Dixon</t>
  </si>
  <si>
    <t>Saltalamacchia, Jarrod</t>
  </si>
  <si>
    <t>Alcantara, Arismendy</t>
  </si>
  <si>
    <t>Joseph, Caleb</t>
  </si>
  <si>
    <t>Adames, Cristhian</t>
  </si>
  <si>
    <t>Merrifield, Whit</t>
  </si>
  <si>
    <t>Current Salary</t>
  </si>
  <si>
    <t>total</t>
  </si>
  <si>
    <t>Kemp, Matt</t>
  </si>
  <si>
    <t>Posey, Buster</t>
  </si>
  <si>
    <t>Segura, Jean</t>
  </si>
  <si>
    <t>Bradley, Jackie</t>
  </si>
  <si>
    <t>Soto, Geovany</t>
  </si>
  <si>
    <t>Hicks, John</t>
  </si>
  <si>
    <t>Teheran, Julio</t>
  </si>
  <si>
    <t>Porcello, Rick</t>
  </si>
  <si>
    <t>Taylor, Chris</t>
  </si>
  <si>
    <t>Turner, Trea</t>
  </si>
  <si>
    <t>Osuna, Jose</t>
  </si>
  <si>
    <t>Adduci, Jim</t>
  </si>
  <si>
    <t>Velasquez, Vincent</t>
  </si>
  <si>
    <t>Hechavarria, Adeiny</t>
  </si>
  <si>
    <t>Bonifacio, Jorge</t>
  </si>
  <si>
    <t>Valaika, Pat</t>
  </si>
  <si>
    <t>Kipnis, Jason</t>
  </si>
  <si>
    <t>Vargas, Kennys</t>
  </si>
  <si>
    <t>Vogelbach, Dan</t>
  </si>
  <si>
    <t>Rivera, T.J.</t>
  </si>
  <si>
    <t>Graterol, Juan</t>
  </si>
  <si>
    <t>Spangenberg, Cory</t>
  </si>
  <si>
    <t>Rutledge, Josh</t>
  </si>
  <si>
    <t>LaMarre, Ryan</t>
  </si>
  <si>
    <t>Plawecki, Kevin</t>
  </si>
  <si>
    <t>Hernandez, Teoscar</t>
  </si>
  <si>
    <t>Blash, Jabari</t>
  </si>
  <si>
    <t>Olson, Matt</t>
  </si>
  <si>
    <t>Stubbs, Drew</t>
  </si>
  <si>
    <t>Arroyo, Christian</t>
  </si>
  <si>
    <t>Paxton, James</t>
  </si>
  <si>
    <t>Bundy, Dylan</t>
  </si>
  <si>
    <t>McCullers, Lance</t>
  </si>
  <si>
    <t>Santiago, Hector</t>
  </si>
  <si>
    <t>Manaea, Sean</t>
  </si>
  <si>
    <t>Lester, Jon</t>
  </si>
  <si>
    <t>Chatwood, Tyler</t>
  </si>
  <si>
    <t>Roark, Tanner</t>
  </si>
  <si>
    <t>Martinez, Carlos</t>
  </si>
  <si>
    <t>Hamels, Cole</t>
  </si>
  <si>
    <t>Cahill, Trevor</t>
  </si>
  <si>
    <t>Cueto, Johnny</t>
  </si>
  <si>
    <t>Cobb, Alex</t>
  </si>
  <si>
    <t>Peralta, Wily</t>
  </si>
  <si>
    <t>Wood, Alex</t>
  </si>
  <si>
    <t>Shoemaker, Matt</t>
  </si>
  <si>
    <t>Bauer, Trevor</t>
  </si>
  <si>
    <t>Norris, Daniel</t>
  </si>
  <si>
    <t>Quintana, Jose</t>
  </si>
  <si>
    <t>Karns, Nathan</t>
  </si>
  <si>
    <t>Davis, Rookie</t>
  </si>
  <si>
    <t>Glasnow, Tyler</t>
  </si>
  <si>
    <t>Latos, Mat</t>
  </si>
  <si>
    <t>Gsellman, Robert</t>
  </si>
  <si>
    <t>Godley, Zack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</si>
</sst>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&quot;$&quot;#,##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18" fillId="0" borderId="0" xfId="42"/>
    <xf numFmtId="0" fontId="16" fillId="0" borderId="0" xfId="0" applyFont="1" applyAlignment="1">
      <alignment horizontal="center"/>
    </xf>
    <xf numFmtId="0" fontId="0" fillId="34" borderId="0" xfId="0" applyFill="1"/>
    <xf numFmtId="0" fontId="0" fillId="0" borderId="10" xfId="0" applyBorder="1"/>
    <xf numFmtId="0" fontId="0" fillId="35" borderId="11" xfId="0" applyFill="1" applyBorder="1"/>
    <xf numFmtId="0" fontId="0" fillId="33" borderId="12" xfId="0" applyFill="1" applyBorder="1"/>
    <xf numFmtId="0" fontId="0" fillId="0" borderId="0" xfId="0" applyBorder="1"/>
    <xf numFmtId="0" fontId="0" fillId="36" borderId="12" xfId="0" applyFill="1" applyBorder="1"/>
    <xf numFmtId="43" fontId="0" fillId="37" borderId="0" xfId="43" applyFont="1" applyFill="1" applyBorder="1"/>
    <xf numFmtId="0" fontId="0" fillId="0" borderId="0" xfId="0" applyFill="1" applyBorder="1"/>
    <xf numFmtId="0" fontId="16" fillId="38" borderId="0" xfId="0" applyFont="1" applyFill="1" applyBorder="1"/>
    <xf numFmtId="2" fontId="16" fillId="38" borderId="0" xfId="0" applyNumberFormat="1" applyFont="1" applyFill="1" applyBorder="1"/>
    <xf numFmtId="43" fontId="0" fillId="0" borderId="0" xfId="0" applyNumberFormat="1"/>
    <xf numFmtId="164" fontId="16" fillId="38" borderId="0" xfId="0" applyNumberFormat="1" applyFont="1" applyFill="1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825500</xdr:colOff>
          <xdr:row>1</xdr:row>
          <xdr:rowOff>0</xdr:rowOff>
        </xdr:from>
        <xdr:to>
          <xdr:col>6</xdr:col>
          <xdr:colOff>0</xdr:colOff>
          <xdr:row>3</xdr:row>
          <xdr:rowOff>6350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the application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171450</xdr:colOff>
      <xdr:row>3</xdr:row>
      <xdr:rowOff>44450</xdr:rowOff>
    </xdr:from>
    <xdr:to>
      <xdr:col>7</xdr:col>
      <xdr:colOff>635000</xdr:colOff>
      <xdr:row>12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3300" y="596900"/>
          <a:ext cx="5454650" cy="17081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bg1">
              <a:lumMod val="75000"/>
            </a:schemeClr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 application is used to find the optimal fantasy baseball lineup for Yahoo Daily Fantasy</a:t>
          </a:r>
          <a:r>
            <a:rPr lang="en-US" sz="1100" baseline="0"/>
            <a:t> Baseball.</a:t>
          </a:r>
        </a:p>
        <a:p>
          <a:endParaRPr lang="en-US" sz="1100"/>
        </a:p>
        <a:p>
          <a:r>
            <a:rPr lang="en-US" sz="1100"/>
            <a:t>1. An</a:t>
          </a:r>
          <a:r>
            <a:rPr lang="en-US" sz="1100" baseline="0"/>
            <a:t> optimal lineup is calculated based on average points per game, constrained by the user-provided inputs below:</a:t>
          </a:r>
        </a:p>
        <a:p>
          <a:r>
            <a:rPr lang="en-US" sz="1100" baseline="0"/>
            <a:t>	a. Maximum Salary</a:t>
          </a:r>
        </a:p>
        <a:p>
          <a:r>
            <a:rPr lang="en-US" sz="1100" baseline="0"/>
            <a:t>	b. Included/Excluded players</a:t>
          </a:r>
          <a:endParaRPr lang="en-US" sz="1100"/>
        </a:p>
        <a:p>
          <a:r>
            <a:rPr lang="en-US" sz="1100"/>
            <a:t>2. The source data is from RotoGuru.net and is updated every time you run the application.</a:t>
          </a:r>
          <a:r>
            <a:rPr lang="en-US" sz="1100" baseline="0"/>
            <a:t> The link is in A1, do not change this link without changing the code.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alData_147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45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44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46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://rotoguru1.com/cgi-bin/stats.cgi?pos=0&amp;sort=4&amp;game=y&amp;colA=0&amp;daypt=0&amp;denom=1&amp;xavg=0&amp;inact=0&amp;maxprc=99999&amp;sched=1&amp;starters=1&amp;hithand=0&amp;numlist=z" TargetMode="Externa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/>
  <dimension ref="A1"/>
  <sheetViews>
    <sheetView tabSelected="1" workbookViewId="0"/>
  </sheetViews>
  <sheetFormatPr defaultRowHeight="14.5" x14ac:dyDescent="0.35"/>
  <cols>
    <col min="1" max="10" width="11.90625" customWidth="1"/>
  </cols>
  <sheetData>
    <row r="1" spans="1:1" x14ac:dyDescent="0.35">
      <c r="A1" s="1" t="s">
        <v>3</v>
      </c>
    </row>
  </sheetData>
  <hyperlinks>
    <hyperlink ref="A1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data.updatedata">
                <anchor>
                  <from>
                    <xdr:col>2</xdr:col>
                    <xdr:colOff>825500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OptimalLineup"/>
  <dimension ref="A1:E12"/>
  <sheetViews>
    <sheetView zoomScaleNormal="100" workbookViewId="0"/>
  </sheetViews>
  <sheetFormatPr defaultRowHeight="14.5" x14ac:dyDescent="0.35"/>
  <cols>
    <col min="1" max="1" width="7.453125" bestFit="1" customWidth="1"/>
    <col min="2" max="2" width="16.36328125" bestFit="1" customWidth="1"/>
    <col min="3" max="3" width="5.453125" bestFit="1" customWidth="1"/>
    <col min="5" max="5" width="11.26953125" bestFit="1" customWidth="1"/>
    <col min="6" max="6" width="14.81640625" bestFit="1" customWidth="1"/>
    <col min="9" max="9" width="16.36328125" bestFit="1" customWidth="1"/>
    <col min="11" max="11" width="9.1796875" customWidth="1"/>
  </cols>
  <sheetData>
    <row r="1" spans="1:5" x14ac:dyDescent="0.35">
      <c r="A1" t="s">
        <v>4</v>
      </c>
      <c r="B1" t="s">
        <v>2</v>
      </c>
      <c r="C1" t="s">
        <v>6</v>
      </c>
      <c r="D1" t="s">
        <v>0</v>
      </c>
      <c r="E1" t="s">
        <v>111</v>
      </c>
    </row>
    <row r="2" spans="1:5" x14ac:dyDescent="0.35">
      <c r="A2" t="s">
        <v>337</v>
      </c>
      <c r="B2" t="s">
        <v>445</v>
      </c>
      <c r="C2" t="s">
        <v>286</v>
      </c>
      <c r="D2">
        <v>49</v>
      </c>
      <c r="E2">
        <f>INDEX(Solver!$A$1:$H$200,MATCH(OptimalLineup!$B2,Solver!$B$1:$B$200,0),MATCH(OptimalLineup!E$1,Solver!$A$1:$H$1,0))</f>
        <v>3.1</v>
      </c>
    </row>
    <row r="3" spans="1:5" x14ac:dyDescent="0.35">
      <c r="A3" t="s">
        <v>105</v>
      </c>
      <c r="B3" t="s">
        <v>26</v>
      </c>
      <c r="C3" t="s">
        <v>255</v>
      </c>
      <c r="D3">
        <v>26</v>
      </c>
      <c r="E3">
        <f>INDEX(Solver!$A$1:$H$200,MATCH(OptimalLineup!$B3,Solver!$B$1:$B$200,0),MATCH(OptimalLineup!E$1,Solver!$A$1:$H$1,0))</f>
        <v>7.9</v>
      </c>
    </row>
    <row r="4" spans="1:5" x14ac:dyDescent="0.35">
      <c r="A4" t="s">
        <v>337</v>
      </c>
      <c r="B4" t="s">
        <v>355</v>
      </c>
      <c r="C4" t="s">
        <v>273</v>
      </c>
      <c r="D4">
        <v>25</v>
      </c>
      <c r="E4">
        <f>INDEX(Solver!$A$1:$H$200,MATCH(OptimalLineup!$B4,Solver!$B$1:$B$200,0),MATCH(OptimalLineup!E$1,Solver!$A$1:$H$1,0))</f>
        <v>11.5</v>
      </c>
    </row>
    <row r="5" spans="1:5" x14ac:dyDescent="0.35">
      <c r="A5" t="s">
        <v>107</v>
      </c>
      <c r="B5" t="s">
        <v>406</v>
      </c>
      <c r="C5" t="s">
        <v>261</v>
      </c>
      <c r="D5">
        <v>18</v>
      </c>
      <c r="E5">
        <f>INDEX(Solver!$A$1:$H$200,MATCH(OptimalLineup!$B5,Solver!$B$1:$B$200,0),MATCH(OptimalLineup!E$1,Solver!$A$1:$H$1,0))</f>
        <v>13.5</v>
      </c>
    </row>
    <row r="6" spans="1:5" x14ac:dyDescent="0.35">
      <c r="A6" t="s">
        <v>108</v>
      </c>
      <c r="B6" t="s">
        <v>35</v>
      </c>
      <c r="C6" t="s">
        <v>255</v>
      </c>
      <c r="D6">
        <v>15</v>
      </c>
      <c r="E6">
        <f>INDEX(Solver!$A$1:$H$200,MATCH(OptimalLineup!$B6,Solver!$B$1:$B$200,0),MATCH(OptimalLineup!E$1,Solver!$A$1:$H$1,0))</f>
        <v>4.4000000000000004</v>
      </c>
    </row>
    <row r="7" spans="1:5" x14ac:dyDescent="0.35">
      <c r="A7" t="s">
        <v>1</v>
      </c>
      <c r="B7" t="s">
        <v>83</v>
      </c>
      <c r="C7" t="s">
        <v>256</v>
      </c>
      <c r="D7">
        <v>15</v>
      </c>
      <c r="E7">
        <f>INDEX(Solver!$A$1:$H$200,MATCH(OptimalLineup!$B7,Solver!$B$1:$B$200,0),MATCH(OptimalLineup!E$1,Solver!$A$1:$H$1,0))</f>
        <v>6.6</v>
      </c>
    </row>
    <row r="8" spans="1:5" x14ac:dyDescent="0.35">
      <c r="A8" t="s">
        <v>106</v>
      </c>
      <c r="B8" t="s">
        <v>30</v>
      </c>
      <c r="C8" t="s">
        <v>273</v>
      </c>
      <c r="D8">
        <v>14</v>
      </c>
      <c r="E8">
        <f>INDEX(Solver!$A$1:$H$200,MATCH(OptimalLineup!$B8,Solver!$B$1:$B$200,0),MATCH(OptimalLineup!E$1,Solver!$A$1:$H$1,0))</f>
        <v>4.2</v>
      </c>
    </row>
    <row r="9" spans="1:5" x14ac:dyDescent="0.35">
      <c r="A9" t="s">
        <v>109</v>
      </c>
      <c r="B9" t="s">
        <v>43</v>
      </c>
      <c r="C9" t="s">
        <v>273</v>
      </c>
      <c r="D9">
        <v>13</v>
      </c>
      <c r="E9">
        <f>INDEX(Solver!$A$1:$H$200,MATCH(OptimalLineup!$B9,Solver!$B$1:$B$200,0),MATCH(OptimalLineup!E$1,Solver!$A$1:$H$1,0))</f>
        <v>4.9000000000000004</v>
      </c>
    </row>
    <row r="10" spans="1:5" x14ac:dyDescent="0.35">
      <c r="A10" t="s">
        <v>109</v>
      </c>
      <c r="B10" t="s">
        <v>361</v>
      </c>
      <c r="C10" t="s">
        <v>268</v>
      </c>
      <c r="D10">
        <v>13</v>
      </c>
      <c r="E10">
        <f>INDEX(Solver!$A$1:$H$200,MATCH(OptimalLineup!$B10,Solver!$B$1:$B$200,0),MATCH(OptimalLineup!E$1,Solver!$A$1:$H$1,0))</f>
        <v>4.4000000000000004</v>
      </c>
    </row>
    <row r="11" spans="1:5" x14ac:dyDescent="0.35">
      <c r="A11" t="s">
        <v>109</v>
      </c>
      <c r="B11" t="s">
        <v>90</v>
      </c>
      <c r="C11" t="s">
        <v>273</v>
      </c>
      <c r="D11">
        <v>12</v>
      </c>
      <c r="E11">
        <f>INDEX(Solver!$A$1:$H$200,MATCH(OptimalLineup!$B11,Solver!$B$1:$B$200,0),MATCH(OptimalLineup!E$1,Solver!$A$1:$H$1,0))</f>
        <v>5.9</v>
      </c>
    </row>
    <row r="12" spans="1:5" x14ac:dyDescent="0.35">
      <c r="A12" s="11" t="s">
        <v>112</v>
      </c>
      <c r="B12" s="11"/>
      <c r="C12" s="11"/>
      <c r="D12" s="14">
        <f>SUM(D2:D11)</f>
        <v>200</v>
      </c>
      <c r="E12" s="12">
        <f>SUM(E2:E11)</f>
        <v>66.400000000000006</v>
      </c>
    </row>
  </sheetData>
  <sortState ref="H2:K11">
    <sortCondition ref="H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ata"/>
  <dimension ref="A1:I402"/>
  <sheetViews>
    <sheetView workbookViewId="0">
      <selection sqref="A1:A1048576"/>
    </sheetView>
  </sheetViews>
  <sheetFormatPr defaultRowHeight="14.5" x14ac:dyDescent="0.35"/>
  <cols>
    <col min="1" max="1" width="3.7265625" customWidth="1"/>
    <col min="2" max="2" width="19.453125" customWidth="1"/>
    <col min="3" max="3" width="6.6328125" customWidth="1"/>
    <col min="4" max="4" width="6.453125" customWidth="1"/>
    <col min="5" max="5" width="8.453125" customWidth="1"/>
    <col min="6" max="6" width="6.36328125" customWidth="1"/>
    <col min="7" max="7" width="7.1796875" customWidth="1"/>
    <col min="8" max="8" width="5.36328125" customWidth="1"/>
    <col min="9" max="9" width="4.81640625" customWidth="1"/>
    <col min="10" max="10" width="2.81640625" customWidth="1"/>
    <col min="11" max="11" width="1.36328125" customWidth="1"/>
  </cols>
  <sheetData>
    <row r="1" spans="1:9" x14ac:dyDescent="0.35">
      <c r="A1" t="s">
        <v>4</v>
      </c>
      <c r="B1" t="s">
        <v>5</v>
      </c>
      <c r="C1" t="s">
        <v>6</v>
      </c>
      <c r="D1" t="s">
        <v>249</v>
      </c>
      <c r="E1" t="s">
        <v>250</v>
      </c>
      <c r="F1" t="s">
        <v>251</v>
      </c>
      <c r="G1" t="s">
        <v>252</v>
      </c>
      <c r="H1" t="s">
        <v>253</v>
      </c>
      <c r="I1" t="s">
        <v>254</v>
      </c>
    </row>
    <row r="2" spans="1:9" x14ac:dyDescent="0.35">
      <c r="A2" t="s">
        <v>337</v>
      </c>
      <c r="B2" t="s">
        <v>434</v>
      </c>
      <c r="C2" t="s">
        <v>261</v>
      </c>
      <c r="D2">
        <v>51</v>
      </c>
      <c r="E2">
        <v>9.4</v>
      </c>
      <c r="F2">
        <v>1.84</v>
      </c>
      <c r="G2">
        <v>8.8000000000000007</v>
      </c>
      <c r="H2">
        <v>3.2</v>
      </c>
      <c r="I2">
        <v>1</v>
      </c>
    </row>
    <row r="3" spans="1:9" x14ac:dyDescent="0.35">
      <c r="A3" t="s">
        <v>337</v>
      </c>
      <c r="B3" t="s">
        <v>439</v>
      </c>
      <c r="C3" t="s">
        <v>294</v>
      </c>
      <c r="D3">
        <v>50</v>
      </c>
      <c r="E3">
        <v>5.8</v>
      </c>
      <c r="F3">
        <v>1.1499999999999999</v>
      </c>
      <c r="G3">
        <v>4.2</v>
      </c>
      <c r="H3">
        <v>1.4</v>
      </c>
      <c r="I3">
        <v>1</v>
      </c>
    </row>
    <row r="4" spans="1:9" x14ac:dyDescent="0.35">
      <c r="A4" t="s">
        <v>337</v>
      </c>
      <c r="B4" t="s">
        <v>445</v>
      </c>
      <c r="C4" t="s">
        <v>286</v>
      </c>
      <c r="D4">
        <v>49</v>
      </c>
      <c r="E4">
        <v>4.9000000000000004</v>
      </c>
      <c r="F4">
        <v>1</v>
      </c>
      <c r="G4">
        <v>3.1</v>
      </c>
      <c r="H4">
        <v>-2.6</v>
      </c>
      <c r="I4">
        <v>1</v>
      </c>
    </row>
    <row r="5" spans="1:9" x14ac:dyDescent="0.35">
      <c r="A5" t="s">
        <v>337</v>
      </c>
      <c r="B5" t="s">
        <v>410</v>
      </c>
      <c r="C5" t="s">
        <v>264</v>
      </c>
      <c r="D5">
        <v>49</v>
      </c>
      <c r="E5">
        <v>4.5999999999999996</v>
      </c>
      <c r="F5">
        <v>0.95</v>
      </c>
      <c r="G5">
        <v>1.7</v>
      </c>
      <c r="H5">
        <v>-2.8</v>
      </c>
      <c r="I5">
        <v>1</v>
      </c>
    </row>
    <row r="6" spans="1:9" x14ac:dyDescent="0.35">
      <c r="A6" t="s">
        <v>337</v>
      </c>
      <c r="B6" t="s">
        <v>411</v>
      </c>
      <c r="C6" t="s">
        <v>284</v>
      </c>
      <c r="D6">
        <v>48</v>
      </c>
      <c r="E6">
        <v>4.5</v>
      </c>
      <c r="F6">
        <v>0.93</v>
      </c>
      <c r="G6">
        <v>2.7</v>
      </c>
      <c r="H6">
        <v>7.3</v>
      </c>
      <c r="I6">
        <v>1</v>
      </c>
    </row>
    <row r="7" spans="1:9" x14ac:dyDescent="0.35">
      <c r="A7" t="s">
        <v>337</v>
      </c>
      <c r="B7" t="s">
        <v>435</v>
      </c>
      <c r="C7" t="s">
        <v>304</v>
      </c>
      <c r="D7">
        <v>46</v>
      </c>
      <c r="E7">
        <v>8</v>
      </c>
      <c r="F7">
        <v>1.74</v>
      </c>
      <c r="G7">
        <v>6.8</v>
      </c>
      <c r="H7">
        <v>8.1999999999999993</v>
      </c>
      <c r="I7">
        <v>1</v>
      </c>
    </row>
    <row r="8" spans="1:9" x14ac:dyDescent="0.35">
      <c r="A8" t="s">
        <v>337</v>
      </c>
      <c r="B8" t="s">
        <v>442</v>
      </c>
      <c r="C8" t="s">
        <v>299</v>
      </c>
      <c r="D8">
        <v>46</v>
      </c>
      <c r="E8">
        <v>5.5</v>
      </c>
      <c r="F8">
        <v>1.19</v>
      </c>
      <c r="G8">
        <v>5</v>
      </c>
      <c r="H8">
        <v>2.6</v>
      </c>
      <c r="I8">
        <v>1</v>
      </c>
    </row>
    <row r="9" spans="1:9" x14ac:dyDescent="0.35">
      <c r="A9" t="s">
        <v>337</v>
      </c>
      <c r="B9" t="s">
        <v>443</v>
      </c>
      <c r="C9" t="s">
        <v>256</v>
      </c>
      <c r="D9">
        <v>46</v>
      </c>
      <c r="E9">
        <v>5.2</v>
      </c>
      <c r="F9">
        <v>1.1399999999999999</v>
      </c>
      <c r="G9">
        <v>5.6</v>
      </c>
      <c r="H9">
        <v>8.6</v>
      </c>
      <c r="I9">
        <v>1</v>
      </c>
    </row>
    <row r="10" spans="1:9" x14ac:dyDescent="0.35">
      <c r="A10" t="s">
        <v>337</v>
      </c>
      <c r="B10" t="s">
        <v>436</v>
      </c>
      <c r="C10" t="s">
        <v>279</v>
      </c>
      <c r="D10">
        <v>44</v>
      </c>
      <c r="E10">
        <v>8</v>
      </c>
      <c r="F10">
        <v>1.82</v>
      </c>
      <c r="G10">
        <v>6.7</v>
      </c>
      <c r="H10">
        <v>11.3</v>
      </c>
      <c r="I10">
        <v>1</v>
      </c>
    </row>
    <row r="11" spans="1:9" x14ac:dyDescent="0.35">
      <c r="A11" t="s">
        <v>337</v>
      </c>
      <c r="B11" t="s">
        <v>452</v>
      </c>
      <c r="C11" t="s">
        <v>282</v>
      </c>
      <c r="D11">
        <v>42</v>
      </c>
      <c r="E11">
        <v>2.7</v>
      </c>
      <c r="F11">
        <v>0.64</v>
      </c>
      <c r="G11">
        <v>2.6</v>
      </c>
      <c r="H11">
        <v>4.5999999999999996</v>
      </c>
      <c r="I11">
        <v>1</v>
      </c>
    </row>
    <row r="12" spans="1:9" x14ac:dyDescent="0.35">
      <c r="A12" t="s">
        <v>337</v>
      </c>
      <c r="B12" t="s">
        <v>416</v>
      </c>
      <c r="C12" t="s">
        <v>268</v>
      </c>
      <c r="D12">
        <v>42</v>
      </c>
      <c r="E12">
        <v>3.3</v>
      </c>
      <c r="F12">
        <v>0.78</v>
      </c>
      <c r="G12">
        <v>2.5</v>
      </c>
      <c r="H12">
        <v>2.6</v>
      </c>
      <c r="I12">
        <v>3</v>
      </c>
    </row>
    <row r="13" spans="1:9" x14ac:dyDescent="0.35">
      <c r="A13" t="s">
        <v>337</v>
      </c>
      <c r="B13" t="s">
        <v>438</v>
      </c>
      <c r="C13" t="s">
        <v>271</v>
      </c>
      <c r="D13">
        <v>41</v>
      </c>
      <c r="E13">
        <v>5.9</v>
      </c>
      <c r="F13">
        <v>1.44</v>
      </c>
      <c r="G13">
        <v>7.4</v>
      </c>
      <c r="H13">
        <v>8.3000000000000007</v>
      </c>
      <c r="I13">
        <v>1</v>
      </c>
    </row>
    <row r="14" spans="1:9" x14ac:dyDescent="0.35">
      <c r="A14" t="s">
        <v>337</v>
      </c>
      <c r="B14" t="s">
        <v>449</v>
      </c>
      <c r="C14" t="s">
        <v>275</v>
      </c>
      <c r="D14">
        <v>36</v>
      </c>
      <c r="E14">
        <v>4</v>
      </c>
      <c r="F14">
        <v>1.1100000000000001</v>
      </c>
      <c r="G14">
        <v>7.1</v>
      </c>
      <c r="H14">
        <v>7.7</v>
      </c>
      <c r="I14">
        <v>1</v>
      </c>
    </row>
    <row r="15" spans="1:9" x14ac:dyDescent="0.35">
      <c r="A15" t="s">
        <v>337</v>
      </c>
      <c r="B15" t="s">
        <v>437</v>
      </c>
      <c r="C15" t="s">
        <v>278</v>
      </c>
      <c r="D15">
        <v>35</v>
      </c>
      <c r="E15">
        <v>6.3</v>
      </c>
      <c r="F15">
        <v>1.79</v>
      </c>
      <c r="G15">
        <v>6.3</v>
      </c>
      <c r="H15">
        <v>7.2</v>
      </c>
      <c r="I15">
        <v>1</v>
      </c>
    </row>
    <row r="16" spans="1:9" x14ac:dyDescent="0.35">
      <c r="A16" t="s">
        <v>337</v>
      </c>
      <c r="B16" t="s">
        <v>446</v>
      </c>
      <c r="C16" t="s">
        <v>283</v>
      </c>
      <c r="D16">
        <v>34</v>
      </c>
      <c r="E16">
        <v>4</v>
      </c>
      <c r="F16">
        <v>1.17</v>
      </c>
      <c r="G16">
        <v>1.3</v>
      </c>
      <c r="H16">
        <v>4</v>
      </c>
      <c r="I16">
        <v>1</v>
      </c>
    </row>
    <row r="17" spans="1:9" x14ac:dyDescent="0.35">
      <c r="A17" t="s">
        <v>337</v>
      </c>
      <c r="B17" t="s">
        <v>441</v>
      </c>
      <c r="C17" t="s">
        <v>260</v>
      </c>
      <c r="D17">
        <v>33</v>
      </c>
      <c r="E17">
        <v>5.7</v>
      </c>
      <c r="F17">
        <v>1.71</v>
      </c>
      <c r="G17">
        <v>5.3</v>
      </c>
      <c r="H17">
        <v>4.8</v>
      </c>
      <c r="I17">
        <v>1</v>
      </c>
    </row>
    <row r="18" spans="1:9" x14ac:dyDescent="0.35">
      <c r="A18" t="s">
        <v>337</v>
      </c>
      <c r="B18" t="s">
        <v>374</v>
      </c>
      <c r="C18" t="s">
        <v>258</v>
      </c>
      <c r="D18">
        <v>33</v>
      </c>
      <c r="E18">
        <v>4.9000000000000004</v>
      </c>
      <c r="F18">
        <v>1.48</v>
      </c>
      <c r="G18">
        <v>3.5</v>
      </c>
      <c r="H18">
        <v>8.4</v>
      </c>
      <c r="I18">
        <v>1</v>
      </c>
    </row>
    <row r="19" spans="1:9" x14ac:dyDescent="0.35">
      <c r="A19" t="s">
        <v>337</v>
      </c>
      <c r="B19" t="s">
        <v>448</v>
      </c>
      <c r="C19" t="s">
        <v>265</v>
      </c>
      <c r="D19">
        <v>32</v>
      </c>
      <c r="E19">
        <v>3.9</v>
      </c>
      <c r="F19">
        <v>1.22</v>
      </c>
      <c r="G19">
        <v>5</v>
      </c>
      <c r="H19">
        <v>3.4</v>
      </c>
      <c r="I19">
        <v>1</v>
      </c>
    </row>
    <row r="20" spans="1:9" x14ac:dyDescent="0.35">
      <c r="A20" t="s">
        <v>337</v>
      </c>
      <c r="B20" t="s">
        <v>450</v>
      </c>
      <c r="C20" t="s">
        <v>257</v>
      </c>
      <c r="D20">
        <v>32</v>
      </c>
      <c r="E20">
        <v>4.8</v>
      </c>
      <c r="F20">
        <v>1.52</v>
      </c>
      <c r="G20">
        <v>5</v>
      </c>
      <c r="H20">
        <v>9.1</v>
      </c>
      <c r="I20">
        <v>1</v>
      </c>
    </row>
    <row r="21" spans="1:9" x14ac:dyDescent="0.35">
      <c r="A21" t="s">
        <v>337</v>
      </c>
      <c r="B21" t="s">
        <v>444</v>
      </c>
      <c r="C21" t="s">
        <v>266</v>
      </c>
      <c r="D21">
        <v>31</v>
      </c>
      <c r="E21">
        <v>7</v>
      </c>
      <c r="F21">
        <v>2.25</v>
      </c>
      <c r="G21">
        <v>7.7</v>
      </c>
      <c r="H21">
        <v>10.199999999999999</v>
      </c>
      <c r="I21">
        <v>1</v>
      </c>
    </row>
    <row r="22" spans="1:9" x14ac:dyDescent="0.35">
      <c r="A22" t="s">
        <v>337</v>
      </c>
      <c r="B22" t="s">
        <v>451</v>
      </c>
      <c r="C22" t="s">
        <v>311</v>
      </c>
      <c r="D22">
        <v>31</v>
      </c>
      <c r="E22">
        <v>4</v>
      </c>
      <c r="F22">
        <v>1.29</v>
      </c>
      <c r="G22">
        <v>4.8</v>
      </c>
      <c r="H22">
        <v>0.8</v>
      </c>
      <c r="I22">
        <v>2</v>
      </c>
    </row>
    <row r="23" spans="1:9" x14ac:dyDescent="0.35">
      <c r="A23" t="s">
        <v>337</v>
      </c>
      <c r="B23" t="s">
        <v>457</v>
      </c>
      <c r="C23" t="s">
        <v>270</v>
      </c>
      <c r="D23">
        <v>31</v>
      </c>
      <c r="E23">
        <v>2.4</v>
      </c>
      <c r="F23">
        <v>0.77</v>
      </c>
      <c r="G23">
        <v>2.1</v>
      </c>
      <c r="H23">
        <v>0</v>
      </c>
      <c r="I23">
        <v>1</v>
      </c>
    </row>
    <row r="24" spans="1:9" x14ac:dyDescent="0.35">
      <c r="A24" t="s">
        <v>337</v>
      </c>
      <c r="B24" t="s">
        <v>440</v>
      </c>
      <c r="C24" t="s">
        <v>277</v>
      </c>
      <c r="D24">
        <v>30</v>
      </c>
      <c r="E24">
        <v>5.8</v>
      </c>
      <c r="F24">
        <v>1.92</v>
      </c>
      <c r="G24">
        <v>8.1999999999999993</v>
      </c>
      <c r="H24">
        <v>2.8</v>
      </c>
      <c r="I24">
        <v>1</v>
      </c>
    </row>
    <row r="25" spans="1:9" x14ac:dyDescent="0.35">
      <c r="A25" t="s">
        <v>337</v>
      </c>
      <c r="B25" t="s">
        <v>455</v>
      </c>
      <c r="C25" t="s">
        <v>308</v>
      </c>
      <c r="D25">
        <v>29</v>
      </c>
      <c r="E25">
        <v>1.4</v>
      </c>
      <c r="F25">
        <v>0.49</v>
      </c>
      <c r="G25">
        <v>4.4000000000000004</v>
      </c>
      <c r="H25">
        <v>4.7</v>
      </c>
      <c r="I25">
        <v>1</v>
      </c>
    </row>
    <row r="26" spans="1:9" x14ac:dyDescent="0.35">
      <c r="A26">
        <v>7</v>
      </c>
      <c r="B26" t="s">
        <v>259</v>
      </c>
      <c r="C26" t="s">
        <v>260</v>
      </c>
      <c r="D26">
        <v>28</v>
      </c>
      <c r="E26">
        <v>6.2</v>
      </c>
      <c r="F26">
        <v>2.2200000000000002</v>
      </c>
      <c r="G26">
        <v>6.6</v>
      </c>
      <c r="H26">
        <v>7.5</v>
      </c>
      <c r="I26">
        <v>1</v>
      </c>
    </row>
    <row r="27" spans="1:9" x14ac:dyDescent="0.35">
      <c r="A27" t="s">
        <v>337</v>
      </c>
      <c r="B27" t="s">
        <v>453</v>
      </c>
      <c r="C27" t="s">
        <v>291</v>
      </c>
      <c r="D27">
        <v>28</v>
      </c>
      <c r="E27">
        <v>2.2000000000000002</v>
      </c>
      <c r="F27">
        <v>0.77</v>
      </c>
      <c r="G27">
        <v>3.2</v>
      </c>
      <c r="H27">
        <v>1.2</v>
      </c>
      <c r="I27">
        <v>3</v>
      </c>
    </row>
    <row r="28" spans="1:9" x14ac:dyDescent="0.35">
      <c r="A28">
        <v>3</v>
      </c>
      <c r="B28" t="s">
        <v>26</v>
      </c>
      <c r="C28" t="s">
        <v>255</v>
      </c>
      <c r="D28">
        <v>26</v>
      </c>
      <c r="E28">
        <v>6.4</v>
      </c>
      <c r="F28">
        <v>2.46</v>
      </c>
      <c r="G28">
        <v>7.9</v>
      </c>
      <c r="H28">
        <v>8.1999999999999993</v>
      </c>
      <c r="I28">
        <v>1</v>
      </c>
    </row>
    <row r="29" spans="1:9" x14ac:dyDescent="0.35">
      <c r="A29">
        <v>5</v>
      </c>
      <c r="B29" t="s">
        <v>276</v>
      </c>
      <c r="C29" t="s">
        <v>277</v>
      </c>
      <c r="D29">
        <v>26</v>
      </c>
      <c r="E29">
        <v>4.5</v>
      </c>
      <c r="F29">
        <v>1.72</v>
      </c>
      <c r="G29">
        <v>4.8</v>
      </c>
      <c r="H29">
        <v>3.5</v>
      </c>
      <c r="I29">
        <v>3</v>
      </c>
    </row>
    <row r="30" spans="1:9" x14ac:dyDescent="0.35">
      <c r="A30" t="s">
        <v>337</v>
      </c>
      <c r="B30" t="s">
        <v>447</v>
      </c>
      <c r="C30" t="s">
        <v>255</v>
      </c>
      <c r="D30">
        <v>26</v>
      </c>
      <c r="E30">
        <v>4</v>
      </c>
      <c r="F30">
        <v>1.54</v>
      </c>
      <c r="G30">
        <v>2.5</v>
      </c>
      <c r="H30">
        <v>-4.2</v>
      </c>
      <c r="I30">
        <v>3</v>
      </c>
    </row>
    <row r="31" spans="1:9" x14ac:dyDescent="0.35">
      <c r="A31">
        <v>7</v>
      </c>
      <c r="B31" t="s">
        <v>14</v>
      </c>
      <c r="C31" t="s">
        <v>275</v>
      </c>
      <c r="D31">
        <v>25</v>
      </c>
      <c r="E31">
        <v>4.5999999999999996</v>
      </c>
      <c r="F31">
        <v>1.85</v>
      </c>
      <c r="G31">
        <v>4.8</v>
      </c>
      <c r="H31">
        <v>7.8</v>
      </c>
      <c r="I31">
        <v>1</v>
      </c>
    </row>
    <row r="32" spans="1:9" x14ac:dyDescent="0.35">
      <c r="A32">
        <v>3</v>
      </c>
      <c r="B32" t="s">
        <v>79</v>
      </c>
      <c r="C32" t="s">
        <v>294</v>
      </c>
      <c r="D32">
        <v>25</v>
      </c>
      <c r="E32">
        <v>4.2</v>
      </c>
      <c r="F32">
        <v>1.67</v>
      </c>
      <c r="G32">
        <v>5.6</v>
      </c>
      <c r="H32">
        <v>-0.8</v>
      </c>
      <c r="I32">
        <v>1</v>
      </c>
    </row>
    <row r="33" spans="1:9" x14ac:dyDescent="0.35">
      <c r="A33" t="s">
        <v>337</v>
      </c>
      <c r="B33" t="s">
        <v>355</v>
      </c>
      <c r="C33" t="s">
        <v>273</v>
      </c>
      <c r="D33">
        <v>25</v>
      </c>
      <c r="E33">
        <v>9</v>
      </c>
      <c r="F33">
        <v>3.59</v>
      </c>
      <c r="G33">
        <v>11.5</v>
      </c>
      <c r="H33">
        <v>10.5</v>
      </c>
      <c r="I33">
        <v>1</v>
      </c>
    </row>
    <row r="34" spans="1:9" x14ac:dyDescent="0.35">
      <c r="A34" t="s">
        <v>337</v>
      </c>
      <c r="B34" t="s">
        <v>454</v>
      </c>
      <c r="C34" t="s">
        <v>263</v>
      </c>
      <c r="D34">
        <v>25</v>
      </c>
      <c r="E34">
        <v>2.1</v>
      </c>
      <c r="F34">
        <v>0.84</v>
      </c>
      <c r="G34">
        <v>3.5</v>
      </c>
      <c r="H34">
        <v>3.5</v>
      </c>
      <c r="I34">
        <v>3</v>
      </c>
    </row>
    <row r="35" spans="1:9" x14ac:dyDescent="0.35">
      <c r="A35" t="s">
        <v>337</v>
      </c>
      <c r="B35" t="s">
        <v>456</v>
      </c>
      <c r="C35" t="s">
        <v>314</v>
      </c>
      <c r="D35">
        <v>25</v>
      </c>
      <c r="E35">
        <v>-0.3</v>
      </c>
      <c r="F35">
        <v>-0.12</v>
      </c>
      <c r="G35">
        <v>-0.3</v>
      </c>
      <c r="H35">
        <v>-0.3</v>
      </c>
      <c r="I35">
        <v>1</v>
      </c>
    </row>
    <row r="36" spans="1:9" x14ac:dyDescent="0.35">
      <c r="A36">
        <v>3</v>
      </c>
      <c r="B36" t="s">
        <v>187</v>
      </c>
      <c r="C36" t="s">
        <v>264</v>
      </c>
      <c r="D36">
        <v>24</v>
      </c>
      <c r="E36">
        <v>5.0999999999999996</v>
      </c>
      <c r="F36">
        <v>2.12</v>
      </c>
      <c r="G36">
        <v>5.5</v>
      </c>
      <c r="H36">
        <v>1.5</v>
      </c>
      <c r="I36">
        <v>3</v>
      </c>
    </row>
    <row r="37" spans="1:9" x14ac:dyDescent="0.35">
      <c r="A37">
        <v>7</v>
      </c>
      <c r="B37" t="s">
        <v>120</v>
      </c>
      <c r="C37" t="s">
        <v>255</v>
      </c>
      <c r="D37">
        <v>24</v>
      </c>
      <c r="E37">
        <v>4.2</v>
      </c>
      <c r="F37">
        <v>1.77</v>
      </c>
      <c r="G37">
        <v>4.5</v>
      </c>
      <c r="H37">
        <v>-0.8</v>
      </c>
      <c r="I37">
        <v>1</v>
      </c>
    </row>
    <row r="38" spans="1:9" x14ac:dyDescent="0.35">
      <c r="A38">
        <v>7</v>
      </c>
      <c r="B38" t="s">
        <v>302</v>
      </c>
      <c r="C38" t="s">
        <v>277</v>
      </c>
      <c r="D38">
        <v>23</v>
      </c>
      <c r="E38">
        <v>4.8</v>
      </c>
      <c r="F38">
        <v>2.1</v>
      </c>
      <c r="G38">
        <v>6.1</v>
      </c>
      <c r="H38">
        <v>13.5</v>
      </c>
      <c r="I38">
        <v>1</v>
      </c>
    </row>
    <row r="39" spans="1:9" x14ac:dyDescent="0.35">
      <c r="A39">
        <v>3</v>
      </c>
      <c r="B39" t="s">
        <v>295</v>
      </c>
      <c r="C39" t="s">
        <v>260</v>
      </c>
      <c r="D39">
        <v>23</v>
      </c>
      <c r="E39">
        <v>4.8</v>
      </c>
      <c r="F39">
        <v>2.08</v>
      </c>
      <c r="G39">
        <v>4.5999999999999996</v>
      </c>
      <c r="H39">
        <v>4.2</v>
      </c>
      <c r="I39">
        <v>1</v>
      </c>
    </row>
    <row r="40" spans="1:9" x14ac:dyDescent="0.35">
      <c r="A40">
        <v>5</v>
      </c>
      <c r="B40" t="s">
        <v>262</v>
      </c>
      <c r="C40" t="s">
        <v>263</v>
      </c>
      <c r="D40">
        <v>22</v>
      </c>
      <c r="E40">
        <v>4.5999999999999996</v>
      </c>
      <c r="F40">
        <v>2.11</v>
      </c>
      <c r="G40">
        <v>4.7</v>
      </c>
      <c r="H40">
        <v>1.2</v>
      </c>
      <c r="I40">
        <v>1</v>
      </c>
    </row>
    <row r="41" spans="1:9" x14ac:dyDescent="0.35">
      <c r="A41">
        <v>3</v>
      </c>
      <c r="B41" t="s">
        <v>296</v>
      </c>
      <c r="C41" t="s">
        <v>263</v>
      </c>
      <c r="D41">
        <v>22</v>
      </c>
      <c r="E41">
        <v>4.3</v>
      </c>
      <c r="F41">
        <v>1.95</v>
      </c>
      <c r="G41">
        <v>4.8</v>
      </c>
      <c r="H41">
        <v>1</v>
      </c>
      <c r="I41">
        <v>1</v>
      </c>
    </row>
    <row r="42" spans="1:9" x14ac:dyDescent="0.35">
      <c r="A42">
        <v>4</v>
      </c>
      <c r="B42" t="s">
        <v>274</v>
      </c>
      <c r="C42" t="s">
        <v>260</v>
      </c>
      <c r="D42">
        <v>22</v>
      </c>
      <c r="E42">
        <v>4.4000000000000004</v>
      </c>
      <c r="F42">
        <v>1.99</v>
      </c>
      <c r="G42">
        <v>4.4000000000000004</v>
      </c>
      <c r="H42">
        <v>11.8</v>
      </c>
      <c r="I42">
        <v>1</v>
      </c>
    </row>
    <row r="43" spans="1:9" x14ac:dyDescent="0.35">
      <c r="A43">
        <v>7</v>
      </c>
      <c r="B43" t="s">
        <v>204</v>
      </c>
      <c r="C43" t="s">
        <v>261</v>
      </c>
      <c r="D43">
        <v>22</v>
      </c>
      <c r="E43">
        <v>3.8</v>
      </c>
      <c r="F43">
        <v>1.72</v>
      </c>
      <c r="G43">
        <v>5.4</v>
      </c>
      <c r="H43">
        <v>12.8</v>
      </c>
      <c r="I43">
        <v>1</v>
      </c>
    </row>
    <row r="44" spans="1:9" x14ac:dyDescent="0.35">
      <c r="A44">
        <v>7</v>
      </c>
      <c r="B44" t="s">
        <v>12</v>
      </c>
      <c r="C44" t="s">
        <v>271</v>
      </c>
      <c r="D44">
        <v>22</v>
      </c>
      <c r="E44">
        <v>4</v>
      </c>
      <c r="F44">
        <v>1.8</v>
      </c>
      <c r="G44">
        <v>3.2</v>
      </c>
      <c r="H44">
        <v>-0.8</v>
      </c>
      <c r="I44">
        <v>1</v>
      </c>
    </row>
    <row r="45" spans="1:9" x14ac:dyDescent="0.35">
      <c r="A45">
        <v>5</v>
      </c>
      <c r="B45" t="s">
        <v>124</v>
      </c>
      <c r="C45" t="s">
        <v>294</v>
      </c>
      <c r="D45">
        <v>22</v>
      </c>
      <c r="E45">
        <v>3.5</v>
      </c>
      <c r="F45">
        <v>1.61</v>
      </c>
      <c r="G45">
        <v>3.8</v>
      </c>
      <c r="H45">
        <v>3</v>
      </c>
      <c r="I45">
        <v>3</v>
      </c>
    </row>
    <row r="46" spans="1:9" x14ac:dyDescent="0.35">
      <c r="A46">
        <v>7</v>
      </c>
      <c r="B46" t="s">
        <v>178</v>
      </c>
      <c r="C46" t="s">
        <v>261</v>
      </c>
      <c r="D46">
        <v>21</v>
      </c>
      <c r="E46">
        <v>4.8</v>
      </c>
      <c r="F46">
        <v>2.2999999999999998</v>
      </c>
      <c r="G46">
        <v>4.9000000000000004</v>
      </c>
      <c r="H46">
        <v>3.5</v>
      </c>
      <c r="I46">
        <v>3</v>
      </c>
    </row>
    <row r="47" spans="1:9" x14ac:dyDescent="0.35">
      <c r="A47">
        <v>3</v>
      </c>
      <c r="B47" t="s">
        <v>182</v>
      </c>
      <c r="C47" t="s">
        <v>272</v>
      </c>
      <c r="D47">
        <v>21</v>
      </c>
      <c r="E47">
        <v>4.5</v>
      </c>
      <c r="F47">
        <v>2.13</v>
      </c>
      <c r="G47">
        <v>4.0999999999999996</v>
      </c>
      <c r="H47">
        <v>16.2</v>
      </c>
      <c r="I47">
        <v>3</v>
      </c>
    </row>
    <row r="48" spans="1:9" x14ac:dyDescent="0.35">
      <c r="A48">
        <v>7</v>
      </c>
      <c r="B48" t="s">
        <v>100</v>
      </c>
      <c r="C48" t="s">
        <v>283</v>
      </c>
      <c r="D48">
        <v>21</v>
      </c>
      <c r="E48">
        <v>3.9</v>
      </c>
      <c r="F48">
        <v>1.87</v>
      </c>
      <c r="G48">
        <v>3.9</v>
      </c>
      <c r="H48">
        <v>2.2000000000000002</v>
      </c>
      <c r="I48">
        <v>1</v>
      </c>
    </row>
    <row r="49" spans="1:9" x14ac:dyDescent="0.35">
      <c r="A49">
        <v>7</v>
      </c>
      <c r="B49" t="s">
        <v>287</v>
      </c>
      <c r="C49" t="s">
        <v>260</v>
      </c>
      <c r="D49">
        <v>21</v>
      </c>
      <c r="E49">
        <v>4</v>
      </c>
      <c r="F49">
        <v>1.89</v>
      </c>
      <c r="G49">
        <v>3.2</v>
      </c>
      <c r="H49">
        <v>8</v>
      </c>
      <c r="I49">
        <v>1</v>
      </c>
    </row>
    <row r="50" spans="1:9" x14ac:dyDescent="0.35">
      <c r="A50">
        <v>7</v>
      </c>
      <c r="B50" t="s">
        <v>269</v>
      </c>
      <c r="C50" t="s">
        <v>270</v>
      </c>
      <c r="D50">
        <v>21</v>
      </c>
      <c r="E50">
        <v>4.2</v>
      </c>
      <c r="F50">
        <v>2</v>
      </c>
      <c r="G50">
        <v>6</v>
      </c>
      <c r="H50">
        <v>1.8</v>
      </c>
      <c r="I50">
        <v>1</v>
      </c>
    </row>
    <row r="51" spans="1:9" x14ac:dyDescent="0.35">
      <c r="A51">
        <v>6</v>
      </c>
      <c r="B51" t="s">
        <v>353</v>
      </c>
      <c r="C51" t="s">
        <v>277</v>
      </c>
      <c r="D51">
        <v>21</v>
      </c>
      <c r="E51">
        <v>2.4</v>
      </c>
      <c r="F51">
        <v>1.1299999999999999</v>
      </c>
      <c r="G51">
        <v>3.1</v>
      </c>
      <c r="H51">
        <v>1.8</v>
      </c>
      <c r="I51">
        <v>1</v>
      </c>
    </row>
    <row r="52" spans="1:9" x14ac:dyDescent="0.35">
      <c r="A52">
        <v>6</v>
      </c>
      <c r="B52" t="s">
        <v>413</v>
      </c>
      <c r="C52" t="s">
        <v>260</v>
      </c>
      <c r="D52">
        <v>21</v>
      </c>
      <c r="E52">
        <v>4.3</v>
      </c>
      <c r="F52">
        <v>2.06</v>
      </c>
      <c r="G52">
        <v>7.7</v>
      </c>
      <c r="H52">
        <v>26.5</v>
      </c>
      <c r="I52">
        <v>2</v>
      </c>
    </row>
    <row r="53" spans="1:9" x14ac:dyDescent="0.35">
      <c r="A53">
        <v>3</v>
      </c>
      <c r="B53" t="s">
        <v>280</v>
      </c>
      <c r="C53" t="s">
        <v>277</v>
      </c>
      <c r="D53">
        <v>20</v>
      </c>
      <c r="E53">
        <v>4.5</v>
      </c>
      <c r="F53">
        <v>2.2400000000000002</v>
      </c>
      <c r="G53">
        <v>3.9</v>
      </c>
      <c r="H53">
        <v>8.5</v>
      </c>
      <c r="I53">
        <v>3</v>
      </c>
    </row>
    <row r="54" spans="1:9" x14ac:dyDescent="0.35">
      <c r="A54">
        <v>6</v>
      </c>
      <c r="B54" t="s">
        <v>39</v>
      </c>
      <c r="C54" t="s">
        <v>257</v>
      </c>
      <c r="D54">
        <v>20</v>
      </c>
      <c r="E54">
        <v>4.4000000000000004</v>
      </c>
      <c r="F54">
        <v>2.2000000000000002</v>
      </c>
      <c r="G54">
        <v>3.7</v>
      </c>
      <c r="H54">
        <v>0.8</v>
      </c>
      <c r="I54">
        <v>1</v>
      </c>
    </row>
    <row r="55" spans="1:9" x14ac:dyDescent="0.35">
      <c r="A55">
        <v>3</v>
      </c>
      <c r="B55" t="s">
        <v>179</v>
      </c>
      <c r="C55" t="s">
        <v>266</v>
      </c>
      <c r="D55">
        <v>20</v>
      </c>
      <c r="E55">
        <v>3.7</v>
      </c>
      <c r="F55">
        <v>1.86</v>
      </c>
      <c r="G55">
        <v>2.7</v>
      </c>
      <c r="H55">
        <v>2</v>
      </c>
      <c r="I55">
        <v>3</v>
      </c>
    </row>
    <row r="56" spans="1:9" x14ac:dyDescent="0.35">
      <c r="A56">
        <v>4</v>
      </c>
      <c r="B56" t="s">
        <v>267</v>
      </c>
      <c r="C56" t="s">
        <v>268</v>
      </c>
      <c r="D56">
        <v>20</v>
      </c>
      <c r="E56">
        <v>4.4000000000000004</v>
      </c>
      <c r="F56">
        <v>2.1800000000000002</v>
      </c>
      <c r="G56">
        <v>4.5</v>
      </c>
      <c r="H56">
        <v>8.8000000000000007</v>
      </c>
      <c r="I56">
        <v>1</v>
      </c>
    </row>
    <row r="57" spans="1:9" x14ac:dyDescent="0.35">
      <c r="A57">
        <v>6</v>
      </c>
      <c r="B57" t="s">
        <v>119</v>
      </c>
      <c r="C57" t="s">
        <v>294</v>
      </c>
      <c r="D57">
        <v>20</v>
      </c>
      <c r="E57">
        <v>3.9</v>
      </c>
      <c r="F57">
        <v>1.96</v>
      </c>
      <c r="G57">
        <v>4.0999999999999996</v>
      </c>
      <c r="H57">
        <v>2.8</v>
      </c>
      <c r="I57">
        <v>3</v>
      </c>
    </row>
    <row r="58" spans="1:9" x14ac:dyDescent="0.35">
      <c r="A58">
        <v>5</v>
      </c>
      <c r="B58" t="s">
        <v>115</v>
      </c>
      <c r="C58" t="s">
        <v>278</v>
      </c>
      <c r="D58">
        <v>20</v>
      </c>
      <c r="E58">
        <v>3.9</v>
      </c>
      <c r="F58">
        <v>1.93</v>
      </c>
      <c r="G58">
        <v>2.9</v>
      </c>
      <c r="H58">
        <v>11.2</v>
      </c>
      <c r="I58">
        <v>6</v>
      </c>
    </row>
    <row r="59" spans="1:9" x14ac:dyDescent="0.35">
      <c r="A59">
        <v>6</v>
      </c>
      <c r="B59" t="s">
        <v>18</v>
      </c>
      <c r="C59" t="s">
        <v>265</v>
      </c>
      <c r="D59">
        <v>20</v>
      </c>
      <c r="E59">
        <v>3.7</v>
      </c>
      <c r="F59">
        <v>1.83</v>
      </c>
      <c r="G59">
        <v>3.3</v>
      </c>
      <c r="H59">
        <v>5.2</v>
      </c>
      <c r="I59">
        <v>1</v>
      </c>
    </row>
    <row r="60" spans="1:9" x14ac:dyDescent="0.35">
      <c r="A60">
        <v>4</v>
      </c>
      <c r="B60" t="s">
        <v>192</v>
      </c>
      <c r="C60" t="s">
        <v>261</v>
      </c>
      <c r="D60">
        <v>20</v>
      </c>
      <c r="E60">
        <v>3.6</v>
      </c>
      <c r="F60">
        <v>1.8</v>
      </c>
      <c r="G60">
        <v>3.9</v>
      </c>
      <c r="H60">
        <v>3.2</v>
      </c>
      <c r="I60">
        <v>1</v>
      </c>
    </row>
    <row r="61" spans="1:9" x14ac:dyDescent="0.35">
      <c r="A61">
        <v>4</v>
      </c>
      <c r="B61" t="s">
        <v>189</v>
      </c>
      <c r="C61" t="s">
        <v>279</v>
      </c>
      <c r="D61">
        <v>20</v>
      </c>
      <c r="E61">
        <v>3.4</v>
      </c>
      <c r="F61">
        <v>1.71</v>
      </c>
      <c r="G61">
        <v>5.3</v>
      </c>
      <c r="H61">
        <v>-0.8</v>
      </c>
      <c r="I61">
        <v>1</v>
      </c>
    </row>
    <row r="62" spans="1:9" x14ac:dyDescent="0.35">
      <c r="A62">
        <v>7</v>
      </c>
      <c r="B62" t="s">
        <v>154</v>
      </c>
      <c r="C62" t="s">
        <v>284</v>
      </c>
      <c r="D62">
        <v>20</v>
      </c>
      <c r="E62">
        <v>4.3</v>
      </c>
      <c r="F62">
        <v>2.13</v>
      </c>
      <c r="G62">
        <v>4.9000000000000004</v>
      </c>
      <c r="H62">
        <v>12.5</v>
      </c>
      <c r="I62">
        <v>1</v>
      </c>
    </row>
    <row r="63" spans="1:9" x14ac:dyDescent="0.35">
      <c r="A63">
        <v>7</v>
      </c>
      <c r="B63" t="s">
        <v>322</v>
      </c>
      <c r="C63" t="s">
        <v>311</v>
      </c>
      <c r="D63">
        <v>20</v>
      </c>
      <c r="E63">
        <v>4.0999999999999996</v>
      </c>
      <c r="F63">
        <v>2.0299999999999998</v>
      </c>
      <c r="G63">
        <v>5.4</v>
      </c>
      <c r="H63">
        <v>12</v>
      </c>
      <c r="I63">
        <v>1</v>
      </c>
    </row>
    <row r="64" spans="1:9" x14ac:dyDescent="0.35">
      <c r="A64">
        <v>5</v>
      </c>
      <c r="B64" t="s">
        <v>212</v>
      </c>
      <c r="C64" t="s">
        <v>299</v>
      </c>
      <c r="D64">
        <v>20</v>
      </c>
      <c r="E64">
        <v>3.4</v>
      </c>
      <c r="F64">
        <v>1.68</v>
      </c>
      <c r="G64">
        <v>3.7</v>
      </c>
      <c r="H64">
        <v>4</v>
      </c>
      <c r="I64">
        <v>1</v>
      </c>
    </row>
    <row r="65" spans="1:9" x14ac:dyDescent="0.35">
      <c r="A65">
        <v>7</v>
      </c>
      <c r="B65" t="s">
        <v>404</v>
      </c>
      <c r="C65" t="s">
        <v>264</v>
      </c>
      <c r="D65">
        <v>20</v>
      </c>
      <c r="E65">
        <v>4</v>
      </c>
      <c r="F65">
        <v>2.02</v>
      </c>
      <c r="G65">
        <v>1.7</v>
      </c>
      <c r="H65">
        <v>9.5</v>
      </c>
      <c r="I65">
        <v>1</v>
      </c>
    </row>
    <row r="66" spans="1:9" x14ac:dyDescent="0.35">
      <c r="A66">
        <v>7</v>
      </c>
      <c r="B66" t="s">
        <v>194</v>
      </c>
      <c r="C66" t="s">
        <v>272</v>
      </c>
      <c r="D66">
        <v>19</v>
      </c>
      <c r="E66">
        <v>4</v>
      </c>
      <c r="F66">
        <v>2.11</v>
      </c>
      <c r="G66">
        <v>4.2</v>
      </c>
      <c r="H66">
        <v>12.2</v>
      </c>
      <c r="I66">
        <v>2</v>
      </c>
    </row>
    <row r="67" spans="1:9" x14ac:dyDescent="0.35">
      <c r="A67">
        <v>7</v>
      </c>
      <c r="B67" t="s">
        <v>117</v>
      </c>
      <c r="C67" t="s">
        <v>258</v>
      </c>
      <c r="D67">
        <v>19</v>
      </c>
      <c r="E67">
        <v>4.3</v>
      </c>
      <c r="F67">
        <v>2.29</v>
      </c>
      <c r="G67">
        <v>5.2</v>
      </c>
      <c r="H67">
        <v>7.2</v>
      </c>
      <c r="I67">
        <v>1</v>
      </c>
    </row>
    <row r="68" spans="1:9" x14ac:dyDescent="0.35">
      <c r="A68">
        <v>7</v>
      </c>
      <c r="B68" t="s">
        <v>146</v>
      </c>
      <c r="C68" t="s">
        <v>258</v>
      </c>
      <c r="D68">
        <v>19</v>
      </c>
      <c r="E68">
        <v>4.0999999999999996</v>
      </c>
      <c r="F68">
        <v>2.16</v>
      </c>
      <c r="G68">
        <v>5.3</v>
      </c>
      <c r="H68">
        <v>5.2</v>
      </c>
      <c r="I68">
        <v>1</v>
      </c>
    </row>
    <row r="69" spans="1:9" x14ac:dyDescent="0.35">
      <c r="A69">
        <v>7</v>
      </c>
      <c r="B69" t="s">
        <v>293</v>
      </c>
      <c r="C69" t="s">
        <v>263</v>
      </c>
      <c r="D69">
        <v>19</v>
      </c>
      <c r="E69">
        <v>3.5</v>
      </c>
      <c r="F69">
        <v>1.87</v>
      </c>
      <c r="G69">
        <v>3</v>
      </c>
      <c r="H69">
        <v>7</v>
      </c>
      <c r="I69">
        <v>1</v>
      </c>
    </row>
    <row r="70" spans="1:9" x14ac:dyDescent="0.35">
      <c r="A70">
        <v>7</v>
      </c>
      <c r="B70" t="s">
        <v>180</v>
      </c>
      <c r="C70" t="s">
        <v>279</v>
      </c>
      <c r="D70">
        <v>19</v>
      </c>
      <c r="E70">
        <v>3.4</v>
      </c>
      <c r="F70">
        <v>1.81</v>
      </c>
      <c r="G70">
        <v>2.8</v>
      </c>
      <c r="H70">
        <v>0</v>
      </c>
      <c r="I70">
        <v>3</v>
      </c>
    </row>
    <row r="71" spans="1:9" x14ac:dyDescent="0.35">
      <c r="A71">
        <v>7</v>
      </c>
      <c r="B71" t="s">
        <v>309</v>
      </c>
      <c r="C71" t="s">
        <v>291</v>
      </c>
      <c r="D71">
        <v>19</v>
      </c>
      <c r="E71">
        <v>2.7</v>
      </c>
      <c r="F71">
        <v>1.41</v>
      </c>
      <c r="G71">
        <v>2.8</v>
      </c>
      <c r="H71">
        <v>1.5</v>
      </c>
      <c r="I71">
        <v>3</v>
      </c>
    </row>
    <row r="72" spans="1:9" x14ac:dyDescent="0.35">
      <c r="A72">
        <v>7</v>
      </c>
      <c r="B72" t="s">
        <v>321</v>
      </c>
      <c r="C72" t="s">
        <v>260</v>
      </c>
      <c r="D72">
        <v>19</v>
      </c>
      <c r="E72">
        <v>2.2000000000000002</v>
      </c>
      <c r="F72">
        <v>1.18</v>
      </c>
      <c r="G72">
        <v>1</v>
      </c>
      <c r="H72">
        <v>-0.8</v>
      </c>
      <c r="I72">
        <v>1</v>
      </c>
    </row>
    <row r="73" spans="1:9" x14ac:dyDescent="0.35">
      <c r="A73">
        <v>5</v>
      </c>
      <c r="B73" t="s">
        <v>181</v>
      </c>
      <c r="C73" t="s">
        <v>272</v>
      </c>
      <c r="D73">
        <v>18</v>
      </c>
      <c r="E73">
        <v>4</v>
      </c>
      <c r="F73">
        <v>2.25</v>
      </c>
      <c r="G73">
        <v>4.2</v>
      </c>
      <c r="H73">
        <v>0.8</v>
      </c>
      <c r="I73">
        <v>1</v>
      </c>
    </row>
    <row r="74" spans="1:9" x14ac:dyDescent="0.35">
      <c r="A74">
        <v>7</v>
      </c>
      <c r="B74" t="s">
        <v>281</v>
      </c>
      <c r="C74" t="s">
        <v>270</v>
      </c>
      <c r="D74">
        <v>18</v>
      </c>
      <c r="E74">
        <v>4.2</v>
      </c>
      <c r="F74">
        <v>2.36</v>
      </c>
      <c r="G74">
        <v>3</v>
      </c>
      <c r="H74">
        <v>0.2</v>
      </c>
      <c r="I74">
        <v>1</v>
      </c>
    </row>
    <row r="75" spans="1:9" x14ac:dyDescent="0.35">
      <c r="A75">
        <v>3</v>
      </c>
      <c r="B75" t="s">
        <v>22</v>
      </c>
      <c r="C75" t="s">
        <v>257</v>
      </c>
      <c r="D75">
        <v>18</v>
      </c>
      <c r="E75">
        <v>3.7</v>
      </c>
      <c r="F75">
        <v>2.04</v>
      </c>
      <c r="G75">
        <v>3.1</v>
      </c>
      <c r="H75">
        <v>1.8</v>
      </c>
      <c r="I75">
        <v>1</v>
      </c>
    </row>
    <row r="76" spans="1:9" x14ac:dyDescent="0.35">
      <c r="A76">
        <v>7</v>
      </c>
      <c r="B76" t="s">
        <v>45</v>
      </c>
      <c r="C76" t="s">
        <v>257</v>
      </c>
      <c r="D76">
        <v>18</v>
      </c>
      <c r="E76">
        <v>4.0999999999999996</v>
      </c>
      <c r="F76">
        <v>2.29</v>
      </c>
      <c r="G76">
        <v>5.3</v>
      </c>
      <c r="H76">
        <v>6.2</v>
      </c>
      <c r="I76">
        <v>3</v>
      </c>
    </row>
    <row r="77" spans="1:9" x14ac:dyDescent="0.35">
      <c r="A77">
        <v>3</v>
      </c>
      <c r="B77" t="s">
        <v>285</v>
      </c>
      <c r="C77" t="s">
        <v>286</v>
      </c>
      <c r="D77">
        <v>18</v>
      </c>
      <c r="E77">
        <v>3.1</v>
      </c>
      <c r="F77">
        <v>1.75</v>
      </c>
      <c r="G77">
        <v>1.9</v>
      </c>
      <c r="H77">
        <v>-0.8</v>
      </c>
      <c r="I77">
        <v>1</v>
      </c>
    </row>
    <row r="78" spans="1:9" x14ac:dyDescent="0.35">
      <c r="A78">
        <v>6</v>
      </c>
      <c r="B78" t="s">
        <v>29</v>
      </c>
      <c r="C78" t="s">
        <v>256</v>
      </c>
      <c r="D78">
        <v>18</v>
      </c>
      <c r="E78">
        <v>3.1</v>
      </c>
      <c r="F78">
        <v>1.71</v>
      </c>
      <c r="G78">
        <v>3.1</v>
      </c>
      <c r="H78">
        <v>-0.8</v>
      </c>
      <c r="I78">
        <v>1</v>
      </c>
    </row>
    <row r="79" spans="1:9" x14ac:dyDescent="0.35">
      <c r="A79">
        <v>5</v>
      </c>
      <c r="B79" t="s">
        <v>16</v>
      </c>
      <c r="C79" t="s">
        <v>265</v>
      </c>
      <c r="D79">
        <v>18</v>
      </c>
      <c r="E79">
        <v>3.1</v>
      </c>
      <c r="F79">
        <v>1.71</v>
      </c>
      <c r="G79">
        <v>2.7</v>
      </c>
      <c r="H79">
        <v>3.5</v>
      </c>
      <c r="I79">
        <v>1</v>
      </c>
    </row>
    <row r="80" spans="1:9" x14ac:dyDescent="0.35">
      <c r="A80">
        <v>6</v>
      </c>
      <c r="B80" t="s">
        <v>188</v>
      </c>
      <c r="C80" t="s">
        <v>299</v>
      </c>
      <c r="D80">
        <v>18</v>
      </c>
      <c r="E80">
        <v>3</v>
      </c>
      <c r="F80">
        <v>1.65</v>
      </c>
      <c r="G80">
        <v>2.1</v>
      </c>
      <c r="H80">
        <v>-0.8</v>
      </c>
      <c r="I80">
        <v>1</v>
      </c>
    </row>
    <row r="81" spans="1:9" x14ac:dyDescent="0.35">
      <c r="A81">
        <v>4</v>
      </c>
      <c r="B81" t="s">
        <v>312</v>
      </c>
      <c r="C81" t="s">
        <v>277</v>
      </c>
      <c r="D81">
        <v>18</v>
      </c>
      <c r="E81">
        <v>2.6</v>
      </c>
      <c r="F81">
        <v>1.44</v>
      </c>
      <c r="G81">
        <v>2.7</v>
      </c>
      <c r="H81">
        <v>9.1999999999999993</v>
      </c>
      <c r="I81">
        <v>1</v>
      </c>
    </row>
    <row r="82" spans="1:9" x14ac:dyDescent="0.35">
      <c r="A82">
        <v>7</v>
      </c>
      <c r="B82" t="s">
        <v>41</v>
      </c>
      <c r="C82" t="s">
        <v>294</v>
      </c>
      <c r="D82">
        <v>18</v>
      </c>
      <c r="E82">
        <v>2.6</v>
      </c>
      <c r="F82">
        <v>1.44</v>
      </c>
      <c r="G82">
        <v>2</v>
      </c>
      <c r="H82">
        <v>-1.5</v>
      </c>
      <c r="I82">
        <v>3</v>
      </c>
    </row>
    <row r="83" spans="1:9" x14ac:dyDescent="0.35">
      <c r="A83">
        <v>6</v>
      </c>
      <c r="B83" t="s">
        <v>406</v>
      </c>
      <c r="C83" t="s">
        <v>261</v>
      </c>
      <c r="D83">
        <v>18</v>
      </c>
      <c r="E83">
        <v>4.7</v>
      </c>
      <c r="F83">
        <v>2.61</v>
      </c>
      <c r="G83">
        <v>13.5</v>
      </c>
      <c r="H83">
        <v>13.5</v>
      </c>
      <c r="I83">
        <v>1</v>
      </c>
    </row>
    <row r="84" spans="1:9" x14ac:dyDescent="0.35">
      <c r="A84">
        <v>5</v>
      </c>
      <c r="B84" t="s">
        <v>21</v>
      </c>
      <c r="C84" t="s">
        <v>257</v>
      </c>
      <c r="D84">
        <v>17</v>
      </c>
      <c r="E84">
        <v>4.5</v>
      </c>
      <c r="F84">
        <v>2.65</v>
      </c>
      <c r="G84">
        <v>5.3</v>
      </c>
      <c r="H84">
        <v>3</v>
      </c>
      <c r="I84">
        <v>1</v>
      </c>
    </row>
    <row r="85" spans="1:9" x14ac:dyDescent="0.35">
      <c r="A85">
        <v>6</v>
      </c>
      <c r="B85" t="s">
        <v>292</v>
      </c>
      <c r="C85" t="s">
        <v>263</v>
      </c>
      <c r="D85">
        <v>17</v>
      </c>
      <c r="E85">
        <v>4</v>
      </c>
      <c r="F85">
        <v>2.37</v>
      </c>
      <c r="G85">
        <v>4.0999999999999996</v>
      </c>
      <c r="H85">
        <v>3.8</v>
      </c>
      <c r="I85">
        <v>1</v>
      </c>
    </row>
    <row r="86" spans="1:9" x14ac:dyDescent="0.35">
      <c r="A86">
        <v>7</v>
      </c>
      <c r="B86" t="s">
        <v>89</v>
      </c>
      <c r="C86" t="s">
        <v>282</v>
      </c>
      <c r="D86">
        <v>17</v>
      </c>
      <c r="E86">
        <v>3.8</v>
      </c>
      <c r="F86">
        <v>2.21</v>
      </c>
      <c r="G86">
        <v>3.4</v>
      </c>
      <c r="H86">
        <v>8.5</v>
      </c>
      <c r="I86">
        <v>2</v>
      </c>
    </row>
    <row r="87" spans="1:9" x14ac:dyDescent="0.35">
      <c r="A87">
        <v>7</v>
      </c>
      <c r="B87" t="s">
        <v>201</v>
      </c>
      <c r="C87" t="s">
        <v>272</v>
      </c>
      <c r="D87">
        <v>17</v>
      </c>
      <c r="E87">
        <v>3.7</v>
      </c>
      <c r="F87">
        <v>2.16</v>
      </c>
      <c r="G87">
        <v>3.6</v>
      </c>
      <c r="H87">
        <v>5</v>
      </c>
      <c r="I87">
        <v>1</v>
      </c>
    </row>
    <row r="88" spans="1:9" x14ac:dyDescent="0.35">
      <c r="A88">
        <v>7</v>
      </c>
      <c r="B88" t="s">
        <v>158</v>
      </c>
      <c r="C88" t="s">
        <v>308</v>
      </c>
      <c r="D88">
        <v>17</v>
      </c>
      <c r="E88">
        <v>2.8</v>
      </c>
      <c r="F88">
        <v>1.65</v>
      </c>
      <c r="G88">
        <v>3.8</v>
      </c>
      <c r="H88">
        <v>0.8</v>
      </c>
      <c r="I88">
        <v>1</v>
      </c>
    </row>
    <row r="89" spans="1:9" x14ac:dyDescent="0.35">
      <c r="A89">
        <v>3</v>
      </c>
      <c r="B89" t="s">
        <v>20</v>
      </c>
      <c r="C89" t="s">
        <v>257</v>
      </c>
      <c r="D89">
        <v>17</v>
      </c>
      <c r="E89">
        <v>2</v>
      </c>
      <c r="F89">
        <v>1.18</v>
      </c>
      <c r="G89">
        <v>2.2000000000000002</v>
      </c>
      <c r="H89">
        <v>0</v>
      </c>
      <c r="I89">
        <v>3</v>
      </c>
    </row>
    <row r="90" spans="1:9" x14ac:dyDescent="0.35">
      <c r="A90">
        <v>7</v>
      </c>
      <c r="B90" t="s">
        <v>113</v>
      </c>
      <c r="C90" t="s">
        <v>258</v>
      </c>
      <c r="D90">
        <v>16</v>
      </c>
      <c r="E90">
        <v>4.2</v>
      </c>
      <c r="F90">
        <v>2.63</v>
      </c>
      <c r="G90">
        <v>4.4000000000000004</v>
      </c>
      <c r="H90">
        <v>4.2</v>
      </c>
      <c r="I90">
        <v>1</v>
      </c>
    </row>
    <row r="91" spans="1:9" x14ac:dyDescent="0.35">
      <c r="A91">
        <v>5</v>
      </c>
      <c r="B91" t="s">
        <v>290</v>
      </c>
      <c r="C91" t="s">
        <v>291</v>
      </c>
      <c r="D91">
        <v>16</v>
      </c>
      <c r="E91">
        <v>3.8</v>
      </c>
      <c r="F91">
        <v>2.37</v>
      </c>
      <c r="G91">
        <v>4.0999999999999996</v>
      </c>
      <c r="H91">
        <v>9.8000000000000007</v>
      </c>
      <c r="I91">
        <v>1</v>
      </c>
    </row>
    <row r="92" spans="1:9" x14ac:dyDescent="0.35">
      <c r="A92">
        <v>7</v>
      </c>
      <c r="B92" t="s">
        <v>57</v>
      </c>
      <c r="C92" t="s">
        <v>283</v>
      </c>
      <c r="D92">
        <v>16</v>
      </c>
      <c r="E92">
        <v>3.4</v>
      </c>
      <c r="F92">
        <v>2.12</v>
      </c>
      <c r="G92">
        <v>3.8</v>
      </c>
      <c r="H92">
        <v>8.1999999999999993</v>
      </c>
      <c r="I92">
        <v>3</v>
      </c>
    </row>
    <row r="93" spans="1:9" x14ac:dyDescent="0.35">
      <c r="A93">
        <v>7</v>
      </c>
      <c r="B93" t="s">
        <v>121</v>
      </c>
      <c r="C93" t="s">
        <v>284</v>
      </c>
      <c r="D93">
        <v>16</v>
      </c>
      <c r="E93">
        <v>3.8</v>
      </c>
      <c r="F93">
        <v>2.34</v>
      </c>
      <c r="G93">
        <v>4</v>
      </c>
      <c r="H93">
        <v>8</v>
      </c>
      <c r="I93">
        <v>1</v>
      </c>
    </row>
    <row r="94" spans="1:9" x14ac:dyDescent="0.35">
      <c r="A94">
        <v>4</v>
      </c>
      <c r="B94" t="s">
        <v>318</v>
      </c>
      <c r="C94" t="s">
        <v>311</v>
      </c>
      <c r="D94">
        <v>16</v>
      </c>
      <c r="E94">
        <v>3.7</v>
      </c>
      <c r="F94">
        <v>2.3199999999999998</v>
      </c>
      <c r="G94">
        <v>3.1</v>
      </c>
      <c r="H94">
        <v>14</v>
      </c>
      <c r="I94">
        <v>1</v>
      </c>
    </row>
    <row r="95" spans="1:9" x14ac:dyDescent="0.35">
      <c r="A95">
        <v>4</v>
      </c>
      <c r="B95" t="s">
        <v>126</v>
      </c>
      <c r="C95" t="s">
        <v>278</v>
      </c>
      <c r="D95">
        <v>16</v>
      </c>
      <c r="E95">
        <v>3.2</v>
      </c>
      <c r="F95">
        <v>1.98</v>
      </c>
      <c r="G95">
        <v>3.2</v>
      </c>
      <c r="H95">
        <v>2</v>
      </c>
      <c r="I95">
        <v>3</v>
      </c>
    </row>
    <row r="96" spans="1:9" x14ac:dyDescent="0.35">
      <c r="A96">
        <v>7</v>
      </c>
      <c r="B96" t="s">
        <v>186</v>
      </c>
      <c r="C96" t="s">
        <v>266</v>
      </c>
      <c r="D96">
        <v>16</v>
      </c>
      <c r="E96">
        <v>2.7</v>
      </c>
      <c r="F96">
        <v>1.71</v>
      </c>
      <c r="G96">
        <v>2</v>
      </c>
      <c r="H96">
        <v>-0.5</v>
      </c>
      <c r="I96">
        <v>1</v>
      </c>
    </row>
    <row r="97" spans="1:9" x14ac:dyDescent="0.35">
      <c r="A97">
        <v>5</v>
      </c>
      <c r="B97" t="s">
        <v>15</v>
      </c>
      <c r="C97" t="s">
        <v>283</v>
      </c>
      <c r="D97">
        <v>16</v>
      </c>
      <c r="E97">
        <v>2.6</v>
      </c>
      <c r="F97">
        <v>1.62</v>
      </c>
      <c r="G97">
        <v>2.2999999999999998</v>
      </c>
      <c r="H97">
        <v>1.5</v>
      </c>
      <c r="I97">
        <v>1</v>
      </c>
    </row>
    <row r="98" spans="1:9" x14ac:dyDescent="0.35">
      <c r="A98">
        <v>6</v>
      </c>
      <c r="B98" t="s">
        <v>288</v>
      </c>
      <c r="C98" t="s">
        <v>270</v>
      </c>
      <c r="D98">
        <v>16</v>
      </c>
      <c r="E98">
        <v>2.9</v>
      </c>
      <c r="F98">
        <v>1.83</v>
      </c>
      <c r="G98">
        <v>3.1</v>
      </c>
      <c r="H98">
        <v>-0.8</v>
      </c>
      <c r="I98">
        <v>1</v>
      </c>
    </row>
    <row r="99" spans="1:9" x14ac:dyDescent="0.35">
      <c r="A99">
        <v>4</v>
      </c>
      <c r="B99" t="s">
        <v>31</v>
      </c>
      <c r="C99" t="s">
        <v>255</v>
      </c>
      <c r="D99">
        <v>16</v>
      </c>
      <c r="E99">
        <v>2.4</v>
      </c>
      <c r="F99">
        <v>1.53</v>
      </c>
      <c r="G99">
        <v>2.6</v>
      </c>
      <c r="H99">
        <v>9.5</v>
      </c>
      <c r="I99">
        <v>1</v>
      </c>
    </row>
    <row r="100" spans="1:9" x14ac:dyDescent="0.35">
      <c r="A100">
        <v>6</v>
      </c>
      <c r="B100" t="s">
        <v>49</v>
      </c>
      <c r="C100" t="s">
        <v>283</v>
      </c>
      <c r="D100">
        <v>16</v>
      </c>
      <c r="E100">
        <v>2.4</v>
      </c>
      <c r="F100">
        <v>1.48</v>
      </c>
      <c r="G100">
        <v>2.9</v>
      </c>
      <c r="H100">
        <v>1.5</v>
      </c>
      <c r="I100">
        <v>1</v>
      </c>
    </row>
    <row r="101" spans="1:9" x14ac:dyDescent="0.35">
      <c r="A101">
        <v>7</v>
      </c>
      <c r="B101" t="s">
        <v>327</v>
      </c>
      <c r="C101" t="s">
        <v>270</v>
      </c>
      <c r="D101">
        <v>16</v>
      </c>
      <c r="E101">
        <v>3.2</v>
      </c>
      <c r="F101">
        <v>1.98</v>
      </c>
      <c r="G101">
        <v>3.5</v>
      </c>
      <c r="H101">
        <v>9.8000000000000007</v>
      </c>
      <c r="I101">
        <v>1</v>
      </c>
    </row>
    <row r="102" spans="1:9" x14ac:dyDescent="0.35">
      <c r="A102">
        <v>7</v>
      </c>
      <c r="B102" t="s">
        <v>334</v>
      </c>
      <c r="C102" t="s">
        <v>268</v>
      </c>
      <c r="D102">
        <v>16</v>
      </c>
      <c r="E102">
        <v>2.5</v>
      </c>
      <c r="F102">
        <v>1.54</v>
      </c>
      <c r="G102">
        <v>2.1</v>
      </c>
      <c r="H102">
        <v>5.5</v>
      </c>
      <c r="I102">
        <v>1</v>
      </c>
    </row>
    <row r="103" spans="1:9" x14ac:dyDescent="0.35">
      <c r="A103">
        <v>7</v>
      </c>
      <c r="B103" t="s">
        <v>195</v>
      </c>
      <c r="C103" t="s">
        <v>266</v>
      </c>
      <c r="D103">
        <v>16</v>
      </c>
      <c r="E103">
        <v>2</v>
      </c>
      <c r="F103">
        <v>1.25</v>
      </c>
      <c r="G103">
        <v>1.4</v>
      </c>
      <c r="H103">
        <v>3.5</v>
      </c>
      <c r="I103">
        <v>1</v>
      </c>
    </row>
    <row r="104" spans="1:9" x14ac:dyDescent="0.35">
      <c r="A104">
        <v>2</v>
      </c>
      <c r="B104" t="s">
        <v>324</v>
      </c>
      <c r="C104" t="s">
        <v>260</v>
      </c>
      <c r="D104">
        <v>16</v>
      </c>
      <c r="E104">
        <v>2.4</v>
      </c>
      <c r="F104">
        <v>1.51</v>
      </c>
      <c r="G104">
        <v>1.9</v>
      </c>
      <c r="H104">
        <v>3.2</v>
      </c>
      <c r="I104">
        <v>1</v>
      </c>
    </row>
    <row r="105" spans="1:9" x14ac:dyDescent="0.35">
      <c r="A105">
        <v>5</v>
      </c>
      <c r="B105" t="s">
        <v>47</v>
      </c>
      <c r="C105" t="s">
        <v>271</v>
      </c>
      <c r="D105">
        <v>16</v>
      </c>
      <c r="E105">
        <v>2.1</v>
      </c>
      <c r="F105">
        <v>1.33</v>
      </c>
      <c r="G105">
        <v>3.4</v>
      </c>
      <c r="H105">
        <v>1.8</v>
      </c>
      <c r="I105">
        <v>1</v>
      </c>
    </row>
    <row r="106" spans="1:9" x14ac:dyDescent="0.35">
      <c r="A106">
        <v>2</v>
      </c>
      <c r="B106" t="s">
        <v>200</v>
      </c>
      <c r="C106" t="s">
        <v>299</v>
      </c>
      <c r="D106">
        <v>16</v>
      </c>
      <c r="E106">
        <v>2.2000000000000002</v>
      </c>
      <c r="F106">
        <v>1.38</v>
      </c>
      <c r="G106">
        <v>1.9</v>
      </c>
      <c r="H106">
        <v>2</v>
      </c>
      <c r="I106">
        <v>3</v>
      </c>
    </row>
    <row r="107" spans="1:9" x14ac:dyDescent="0.35">
      <c r="A107">
        <v>4</v>
      </c>
      <c r="B107" t="s">
        <v>420</v>
      </c>
      <c r="C107" t="s">
        <v>257</v>
      </c>
      <c r="D107">
        <v>16</v>
      </c>
      <c r="E107">
        <v>0.4</v>
      </c>
      <c r="F107">
        <v>0.27</v>
      </c>
      <c r="G107">
        <v>0.4</v>
      </c>
      <c r="H107">
        <v>-1.5</v>
      </c>
      <c r="I107">
        <v>2</v>
      </c>
    </row>
    <row r="108" spans="1:9" x14ac:dyDescent="0.35">
      <c r="A108">
        <v>5</v>
      </c>
      <c r="B108" t="s">
        <v>35</v>
      </c>
      <c r="C108" t="s">
        <v>255</v>
      </c>
      <c r="D108">
        <v>15</v>
      </c>
      <c r="E108">
        <v>4.0999999999999996</v>
      </c>
      <c r="F108">
        <v>2.75</v>
      </c>
      <c r="G108">
        <v>4.4000000000000004</v>
      </c>
      <c r="H108">
        <v>2.2000000000000002</v>
      </c>
      <c r="I108">
        <v>3</v>
      </c>
    </row>
    <row r="109" spans="1:9" x14ac:dyDescent="0.35">
      <c r="A109">
        <v>6</v>
      </c>
      <c r="B109" t="s">
        <v>190</v>
      </c>
      <c r="C109" t="s">
        <v>272</v>
      </c>
      <c r="D109">
        <v>15</v>
      </c>
      <c r="E109">
        <v>3.7</v>
      </c>
      <c r="F109">
        <v>2.48</v>
      </c>
      <c r="G109">
        <v>3.2</v>
      </c>
      <c r="H109">
        <v>9</v>
      </c>
      <c r="I109">
        <v>1</v>
      </c>
    </row>
    <row r="110" spans="1:9" x14ac:dyDescent="0.35">
      <c r="A110">
        <v>7</v>
      </c>
      <c r="B110" t="s">
        <v>36</v>
      </c>
      <c r="C110" t="s">
        <v>256</v>
      </c>
      <c r="D110">
        <v>15</v>
      </c>
      <c r="E110">
        <v>3.5</v>
      </c>
      <c r="F110">
        <v>2.35</v>
      </c>
      <c r="G110">
        <v>2.4</v>
      </c>
      <c r="H110">
        <v>-0.8</v>
      </c>
      <c r="I110">
        <v>1</v>
      </c>
    </row>
    <row r="111" spans="1:9" x14ac:dyDescent="0.35">
      <c r="A111">
        <v>4</v>
      </c>
      <c r="B111" t="s">
        <v>183</v>
      </c>
      <c r="C111" t="s">
        <v>264</v>
      </c>
      <c r="D111">
        <v>15</v>
      </c>
      <c r="E111">
        <v>3.9</v>
      </c>
      <c r="F111">
        <v>2.58</v>
      </c>
      <c r="G111">
        <v>4.5</v>
      </c>
      <c r="H111">
        <v>3.2</v>
      </c>
      <c r="I111">
        <v>1</v>
      </c>
    </row>
    <row r="112" spans="1:9" x14ac:dyDescent="0.35">
      <c r="A112">
        <v>4</v>
      </c>
      <c r="B112" t="s">
        <v>303</v>
      </c>
      <c r="C112" t="s">
        <v>304</v>
      </c>
      <c r="D112">
        <v>15</v>
      </c>
      <c r="E112">
        <v>3.6</v>
      </c>
      <c r="F112">
        <v>2.38</v>
      </c>
      <c r="G112">
        <v>4.4000000000000004</v>
      </c>
      <c r="H112">
        <v>0.5</v>
      </c>
      <c r="I112">
        <v>1</v>
      </c>
    </row>
    <row r="113" spans="1:9" x14ac:dyDescent="0.35">
      <c r="A113">
        <v>7</v>
      </c>
      <c r="B113" t="s">
        <v>46</v>
      </c>
      <c r="C113" t="s">
        <v>294</v>
      </c>
      <c r="D113">
        <v>15</v>
      </c>
      <c r="E113">
        <v>3.4</v>
      </c>
      <c r="F113">
        <v>2.2799999999999998</v>
      </c>
      <c r="G113">
        <v>3.7</v>
      </c>
      <c r="H113">
        <v>0</v>
      </c>
      <c r="I113">
        <v>1</v>
      </c>
    </row>
    <row r="114" spans="1:9" x14ac:dyDescent="0.35">
      <c r="A114">
        <v>7</v>
      </c>
      <c r="B114" t="s">
        <v>209</v>
      </c>
      <c r="C114" t="s">
        <v>272</v>
      </c>
      <c r="D114">
        <v>15</v>
      </c>
      <c r="E114">
        <v>3.6</v>
      </c>
      <c r="F114">
        <v>2.37</v>
      </c>
      <c r="G114">
        <v>4</v>
      </c>
      <c r="H114">
        <v>12.5</v>
      </c>
      <c r="I114">
        <v>1</v>
      </c>
    </row>
    <row r="115" spans="1:9" x14ac:dyDescent="0.35">
      <c r="A115">
        <v>3</v>
      </c>
      <c r="B115" t="s">
        <v>13</v>
      </c>
      <c r="C115" t="s">
        <v>283</v>
      </c>
      <c r="D115">
        <v>15</v>
      </c>
      <c r="E115">
        <v>2.8</v>
      </c>
      <c r="F115">
        <v>1.85</v>
      </c>
      <c r="G115">
        <v>2.6</v>
      </c>
      <c r="H115">
        <v>1.5</v>
      </c>
      <c r="I115">
        <v>1</v>
      </c>
    </row>
    <row r="116" spans="1:9" x14ac:dyDescent="0.35">
      <c r="A116">
        <v>7</v>
      </c>
      <c r="B116" t="s">
        <v>153</v>
      </c>
      <c r="C116" t="s">
        <v>278</v>
      </c>
      <c r="D116">
        <v>15</v>
      </c>
      <c r="E116">
        <v>2.9</v>
      </c>
      <c r="F116">
        <v>1.9</v>
      </c>
      <c r="G116">
        <v>3.6</v>
      </c>
      <c r="H116">
        <v>0.2</v>
      </c>
      <c r="I116">
        <v>1</v>
      </c>
    </row>
    <row r="117" spans="1:9" x14ac:dyDescent="0.35">
      <c r="A117">
        <v>6</v>
      </c>
      <c r="B117" t="s">
        <v>289</v>
      </c>
      <c r="C117" t="s">
        <v>286</v>
      </c>
      <c r="D117">
        <v>15</v>
      </c>
      <c r="E117">
        <v>2.6</v>
      </c>
      <c r="F117">
        <v>1.74</v>
      </c>
      <c r="G117">
        <v>1.5</v>
      </c>
      <c r="H117">
        <v>0.2</v>
      </c>
      <c r="I117">
        <v>1</v>
      </c>
    </row>
    <row r="118" spans="1:9" x14ac:dyDescent="0.35">
      <c r="A118">
        <v>4</v>
      </c>
      <c r="B118" t="s">
        <v>132</v>
      </c>
      <c r="C118" t="s">
        <v>258</v>
      </c>
      <c r="D118">
        <v>15</v>
      </c>
      <c r="E118">
        <v>3</v>
      </c>
      <c r="F118">
        <v>1.98</v>
      </c>
      <c r="G118">
        <v>3</v>
      </c>
      <c r="H118">
        <v>4.5</v>
      </c>
      <c r="I118">
        <v>1</v>
      </c>
    </row>
    <row r="119" spans="1:9" x14ac:dyDescent="0.35">
      <c r="A119">
        <v>7</v>
      </c>
      <c r="B119" t="s">
        <v>333</v>
      </c>
      <c r="C119" t="s">
        <v>277</v>
      </c>
      <c r="D119">
        <v>15</v>
      </c>
      <c r="E119">
        <v>3</v>
      </c>
      <c r="F119">
        <v>2.0299999999999998</v>
      </c>
      <c r="G119">
        <v>3</v>
      </c>
      <c r="H119">
        <v>7</v>
      </c>
      <c r="I119">
        <v>1</v>
      </c>
    </row>
    <row r="120" spans="1:9" x14ac:dyDescent="0.35">
      <c r="A120">
        <v>5</v>
      </c>
      <c r="B120" t="s">
        <v>95</v>
      </c>
      <c r="C120" t="s">
        <v>282</v>
      </c>
      <c r="D120">
        <v>15</v>
      </c>
      <c r="E120">
        <v>4</v>
      </c>
      <c r="F120">
        <v>2.64</v>
      </c>
      <c r="G120">
        <v>3.8</v>
      </c>
      <c r="H120">
        <v>0.8</v>
      </c>
      <c r="I120">
        <v>3</v>
      </c>
    </row>
    <row r="121" spans="1:9" x14ac:dyDescent="0.35">
      <c r="A121">
        <v>7</v>
      </c>
      <c r="B121" t="s">
        <v>320</v>
      </c>
      <c r="C121" t="s">
        <v>263</v>
      </c>
      <c r="D121">
        <v>15</v>
      </c>
      <c r="E121">
        <v>2.7</v>
      </c>
      <c r="F121">
        <v>1.78</v>
      </c>
      <c r="G121">
        <v>1.9</v>
      </c>
      <c r="H121">
        <v>-3</v>
      </c>
      <c r="I121">
        <v>1</v>
      </c>
    </row>
    <row r="122" spans="1:9" x14ac:dyDescent="0.35">
      <c r="A122">
        <v>3</v>
      </c>
      <c r="B122" t="s">
        <v>319</v>
      </c>
      <c r="C122" t="s">
        <v>314</v>
      </c>
      <c r="D122">
        <v>15</v>
      </c>
      <c r="E122">
        <v>2.4</v>
      </c>
      <c r="F122">
        <v>1.59</v>
      </c>
      <c r="G122">
        <v>1.9</v>
      </c>
      <c r="H122">
        <v>1.5</v>
      </c>
      <c r="I122">
        <v>1</v>
      </c>
    </row>
    <row r="123" spans="1:9" x14ac:dyDescent="0.35">
      <c r="A123">
        <v>5</v>
      </c>
      <c r="B123" t="s">
        <v>325</v>
      </c>
      <c r="C123" t="s">
        <v>304</v>
      </c>
      <c r="D123">
        <v>15</v>
      </c>
      <c r="E123">
        <v>2.4</v>
      </c>
      <c r="F123">
        <v>1.63</v>
      </c>
      <c r="G123">
        <v>2</v>
      </c>
      <c r="H123">
        <v>0</v>
      </c>
      <c r="I123">
        <v>1</v>
      </c>
    </row>
    <row r="124" spans="1:9" x14ac:dyDescent="0.35">
      <c r="A124">
        <v>7</v>
      </c>
      <c r="B124" t="s">
        <v>17</v>
      </c>
      <c r="C124" t="s">
        <v>283</v>
      </c>
      <c r="D124">
        <v>15</v>
      </c>
      <c r="E124">
        <v>2.1</v>
      </c>
      <c r="F124">
        <v>1.42</v>
      </c>
      <c r="G124">
        <v>2</v>
      </c>
      <c r="H124">
        <v>-1.5</v>
      </c>
      <c r="I124">
        <v>1</v>
      </c>
    </row>
    <row r="125" spans="1:9" x14ac:dyDescent="0.35">
      <c r="A125">
        <v>5</v>
      </c>
      <c r="B125" t="s">
        <v>136</v>
      </c>
      <c r="C125" t="s">
        <v>271</v>
      </c>
      <c r="D125">
        <v>15</v>
      </c>
      <c r="E125">
        <v>2.2999999999999998</v>
      </c>
      <c r="F125">
        <v>1.56</v>
      </c>
      <c r="G125">
        <v>2.6</v>
      </c>
      <c r="H125">
        <v>-3</v>
      </c>
      <c r="I125">
        <v>1</v>
      </c>
    </row>
    <row r="126" spans="1:9" x14ac:dyDescent="0.35">
      <c r="A126">
        <v>4</v>
      </c>
      <c r="B126" t="s">
        <v>44</v>
      </c>
      <c r="C126" t="s">
        <v>294</v>
      </c>
      <c r="D126">
        <v>15</v>
      </c>
      <c r="E126">
        <v>2.7</v>
      </c>
      <c r="F126">
        <v>1.81</v>
      </c>
      <c r="G126">
        <v>2.2999999999999998</v>
      </c>
      <c r="H126">
        <v>-0.8</v>
      </c>
      <c r="I126">
        <v>1</v>
      </c>
    </row>
    <row r="127" spans="1:9" x14ac:dyDescent="0.35">
      <c r="A127">
        <v>5</v>
      </c>
      <c r="B127" t="s">
        <v>193</v>
      </c>
      <c r="C127" t="s">
        <v>261</v>
      </c>
      <c r="D127">
        <v>15</v>
      </c>
      <c r="E127">
        <v>2.4</v>
      </c>
      <c r="F127">
        <v>1.58</v>
      </c>
      <c r="G127">
        <v>2.6</v>
      </c>
      <c r="H127">
        <v>4.5</v>
      </c>
      <c r="I127">
        <v>1</v>
      </c>
    </row>
    <row r="128" spans="1:9" x14ac:dyDescent="0.35">
      <c r="A128">
        <v>2</v>
      </c>
      <c r="B128" t="s">
        <v>83</v>
      </c>
      <c r="C128" t="s">
        <v>256</v>
      </c>
      <c r="D128">
        <v>15</v>
      </c>
      <c r="E128">
        <v>6.3</v>
      </c>
      <c r="F128">
        <v>4.1900000000000004</v>
      </c>
      <c r="G128">
        <v>6.6</v>
      </c>
      <c r="H128">
        <v>7.8</v>
      </c>
      <c r="I128">
        <v>4</v>
      </c>
    </row>
    <row r="129" spans="1:9" x14ac:dyDescent="0.35">
      <c r="A129">
        <v>3</v>
      </c>
      <c r="B129" t="s">
        <v>306</v>
      </c>
      <c r="C129" t="s">
        <v>304</v>
      </c>
      <c r="D129">
        <v>15</v>
      </c>
      <c r="E129">
        <v>3.3</v>
      </c>
      <c r="F129">
        <v>2.2200000000000002</v>
      </c>
      <c r="G129">
        <v>4.0999999999999996</v>
      </c>
      <c r="H129">
        <v>-2.2000000000000002</v>
      </c>
      <c r="I129">
        <v>3</v>
      </c>
    </row>
    <row r="130" spans="1:9" x14ac:dyDescent="0.35">
      <c r="A130">
        <v>3</v>
      </c>
      <c r="B130" t="s">
        <v>315</v>
      </c>
      <c r="C130" t="s">
        <v>304</v>
      </c>
      <c r="D130">
        <v>15</v>
      </c>
      <c r="E130">
        <v>2.1</v>
      </c>
      <c r="F130">
        <v>1.39</v>
      </c>
      <c r="G130">
        <v>1.9</v>
      </c>
      <c r="H130">
        <v>1</v>
      </c>
      <c r="I130">
        <v>3</v>
      </c>
    </row>
    <row r="131" spans="1:9" x14ac:dyDescent="0.35">
      <c r="A131">
        <v>4</v>
      </c>
      <c r="B131" t="s">
        <v>147</v>
      </c>
      <c r="C131" t="s">
        <v>308</v>
      </c>
      <c r="D131">
        <v>15</v>
      </c>
      <c r="E131">
        <v>2</v>
      </c>
      <c r="F131">
        <v>1.36</v>
      </c>
      <c r="G131">
        <v>2.1</v>
      </c>
      <c r="H131">
        <v>0</v>
      </c>
      <c r="I131">
        <v>1</v>
      </c>
    </row>
    <row r="132" spans="1:9" x14ac:dyDescent="0.35">
      <c r="A132">
        <v>7</v>
      </c>
      <c r="B132" t="s">
        <v>328</v>
      </c>
      <c r="C132" t="s">
        <v>304</v>
      </c>
      <c r="D132">
        <v>15</v>
      </c>
      <c r="E132">
        <v>3.3</v>
      </c>
      <c r="F132">
        <v>2.23</v>
      </c>
      <c r="G132">
        <v>2.4</v>
      </c>
      <c r="H132">
        <v>0</v>
      </c>
      <c r="I132">
        <v>3</v>
      </c>
    </row>
    <row r="133" spans="1:9" x14ac:dyDescent="0.35">
      <c r="A133">
        <v>2</v>
      </c>
      <c r="B133" t="s">
        <v>405</v>
      </c>
      <c r="C133" t="s">
        <v>286</v>
      </c>
      <c r="D133">
        <v>15</v>
      </c>
      <c r="E133">
        <v>2.4</v>
      </c>
      <c r="F133">
        <v>1.63</v>
      </c>
      <c r="G133">
        <v>1.7</v>
      </c>
      <c r="H133">
        <v>4.2</v>
      </c>
      <c r="I133">
        <v>1</v>
      </c>
    </row>
    <row r="134" spans="1:9" x14ac:dyDescent="0.35">
      <c r="A134">
        <v>7</v>
      </c>
      <c r="B134" t="s">
        <v>407</v>
      </c>
      <c r="C134" t="s">
        <v>284</v>
      </c>
      <c r="D134">
        <v>15</v>
      </c>
      <c r="E134">
        <v>3.6</v>
      </c>
      <c r="F134">
        <v>2.4</v>
      </c>
      <c r="G134">
        <v>3.2</v>
      </c>
      <c r="H134">
        <v>-0.8</v>
      </c>
      <c r="I134">
        <v>3</v>
      </c>
    </row>
    <row r="135" spans="1:9" x14ac:dyDescent="0.35">
      <c r="A135">
        <v>7</v>
      </c>
      <c r="B135" t="s">
        <v>418</v>
      </c>
      <c r="C135" t="s">
        <v>291</v>
      </c>
      <c r="D135">
        <v>15</v>
      </c>
      <c r="E135">
        <v>2.1</v>
      </c>
      <c r="F135">
        <v>1.38</v>
      </c>
      <c r="G135">
        <v>2.1</v>
      </c>
      <c r="H135">
        <v>1</v>
      </c>
      <c r="I135">
        <v>1</v>
      </c>
    </row>
    <row r="136" spans="1:9" x14ac:dyDescent="0.35">
      <c r="A136">
        <v>5</v>
      </c>
      <c r="B136" t="s">
        <v>59</v>
      </c>
      <c r="C136" t="s">
        <v>256</v>
      </c>
      <c r="D136">
        <v>14</v>
      </c>
      <c r="E136">
        <v>3.8</v>
      </c>
      <c r="F136">
        <v>2.72</v>
      </c>
      <c r="G136">
        <v>3.7</v>
      </c>
      <c r="H136">
        <v>6.2</v>
      </c>
      <c r="I136">
        <v>1</v>
      </c>
    </row>
    <row r="137" spans="1:9" x14ac:dyDescent="0.35">
      <c r="A137">
        <v>5</v>
      </c>
      <c r="B137" t="s">
        <v>185</v>
      </c>
      <c r="C137" t="s">
        <v>266</v>
      </c>
      <c r="D137">
        <v>14</v>
      </c>
      <c r="E137">
        <v>3.2</v>
      </c>
      <c r="F137">
        <v>2.31</v>
      </c>
      <c r="G137">
        <v>2.5</v>
      </c>
      <c r="H137">
        <v>4.5</v>
      </c>
      <c r="I137">
        <v>3</v>
      </c>
    </row>
    <row r="138" spans="1:9" x14ac:dyDescent="0.35">
      <c r="A138">
        <v>5</v>
      </c>
      <c r="B138" t="s">
        <v>28</v>
      </c>
      <c r="C138" t="s">
        <v>273</v>
      </c>
      <c r="D138">
        <v>14</v>
      </c>
      <c r="E138">
        <v>3.9</v>
      </c>
      <c r="F138">
        <v>2.79</v>
      </c>
      <c r="G138">
        <v>3.5</v>
      </c>
      <c r="H138">
        <v>-0.8</v>
      </c>
      <c r="I138">
        <v>1</v>
      </c>
    </row>
    <row r="139" spans="1:9" x14ac:dyDescent="0.35">
      <c r="A139">
        <v>4</v>
      </c>
      <c r="B139" t="s">
        <v>30</v>
      </c>
      <c r="C139" t="s">
        <v>273</v>
      </c>
      <c r="D139">
        <v>14</v>
      </c>
      <c r="E139">
        <v>3.7</v>
      </c>
      <c r="F139">
        <v>2.66</v>
      </c>
      <c r="G139">
        <v>4.2</v>
      </c>
      <c r="H139">
        <v>-1.2</v>
      </c>
      <c r="I139">
        <v>3</v>
      </c>
    </row>
    <row r="140" spans="1:9" x14ac:dyDescent="0.35">
      <c r="A140">
        <v>5</v>
      </c>
      <c r="B140" t="s">
        <v>310</v>
      </c>
      <c r="C140" t="s">
        <v>311</v>
      </c>
      <c r="D140">
        <v>14</v>
      </c>
      <c r="E140">
        <v>3.5</v>
      </c>
      <c r="F140">
        <v>2.48</v>
      </c>
      <c r="G140">
        <v>3.1</v>
      </c>
      <c r="H140">
        <v>6.2</v>
      </c>
      <c r="I140">
        <v>1</v>
      </c>
    </row>
    <row r="141" spans="1:9" x14ac:dyDescent="0.35">
      <c r="A141">
        <v>7</v>
      </c>
      <c r="B141" t="s">
        <v>33</v>
      </c>
      <c r="C141" t="s">
        <v>265</v>
      </c>
      <c r="D141">
        <v>14</v>
      </c>
      <c r="E141">
        <v>3.1</v>
      </c>
      <c r="F141">
        <v>2.2400000000000002</v>
      </c>
      <c r="G141">
        <v>2.4</v>
      </c>
      <c r="H141">
        <v>2.5</v>
      </c>
      <c r="I141">
        <v>3</v>
      </c>
    </row>
    <row r="142" spans="1:9" x14ac:dyDescent="0.35">
      <c r="A142">
        <v>7</v>
      </c>
      <c r="B142" t="s">
        <v>313</v>
      </c>
      <c r="C142" t="s">
        <v>304</v>
      </c>
      <c r="D142">
        <v>14</v>
      </c>
      <c r="E142">
        <v>3.4</v>
      </c>
      <c r="F142">
        <v>2.42</v>
      </c>
      <c r="G142">
        <v>3.1</v>
      </c>
      <c r="H142">
        <v>-0.8</v>
      </c>
      <c r="I142">
        <v>1</v>
      </c>
    </row>
    <row r="143" spans="1:9" x14ac:dyDescent="0.35">
      <c r="A143">
        <v>3</v>
      </c>
      <c r="B143" t="s">
        <v>131</v>
      </c>
      <c r="C143" t="s">
        <v>284</v>
      </c>
      <c r="D143">
        <v>14</v>
      </c>
      <c r="E143">
        <v>3.2</v>
      </c>
      <c r="F143">
        <v>2.29</v>
      </c>
      <c r="G143">
        <v>3.4</v>
      </c>
      <c r="H143">
        <v>8</v>
      </c>
      <c r="I143">
        <v>1</v>
      </c>
    </row>
    <row r="144" spans="1:9" x14ac:dyDescent="0.35">
      <c r="A144">
        <v>6</v>
      </c>
      <c r="B144" t="s">
        <v>123</v>
      </c>
      <c r="C144" t="s">
        <v>278</v>
      </c>
      <c r="D144">
        <v>14</v>
      </c>
      <c r="E144">
        <v>3.2</v>
      </c>
      <c r="F144">
        <v>2.2999999999999998</v>
      </c>
      <c r="G144">
        <v>2.7</v>
      </c>
      <c r="H144">
        <v>5.8</v>
      </c>
      <c r="I144">
        <v>3</v>
      </c>
    </row>
    <row r="145" spans="1:9" x14ac:dyDescent="0.35">
      <c r="A145">
        <v>7</v>
      </c>
      <c r="B145" t="s">
        <v>341</v>
      </c>
      <c r="C145" t="s">
        <v>314</v>
      </c>
      <c r="D145">
        <v>14</v>
      </c>
      <c r="E145">
        <v>2.8</v>
      </c>
      <c r="F145">
        <v>2</v>
      </c>
      <c r="G145">
        <v>3.4</v>
      </c>
      <c r="H145">
        <v>7.5</v>
      </c>
      <c r="I145">
        <v>1</v>
      </c>
    </row>
    <row r="146" spans="1:9" x14ac:dyDescent="0.35">
      <c r="A146">
        <v>5</v>
      </c>
      <c r="B146" t="s">
        <v>138</v>
      </c>
      <c r="C146" t="s">
        <v>308</v>
      </c>
      <c r="D146">
        <v>14</v>
      </c>
      <c r="E146">
        <v>3</v>
      </c>
      <c r="F146">
        <v>2.17</v>
      </c>
      <c r="G146">
        <v>3.2</v>
      </c>
      <c r="H146">
        <v>2.5</v>
      </c>
      <c r="I146">
        <v>1</v>
      </c>
    </row>
    <row r="147" spans="1:9" x14ac:dyDescent="0.35">
      <c r="A147">
        <v>6</v>
      </c>
      <c r="B147" t="s">
        <v>56</v>
      </c>
      <c r="C147" t="s">
        <v>275</v>
      </c>
      <c r="D147">
        <v>14</v>
      </c>
      <c r="E147">
        <v>2.6</v>
      </c>
      <c r="F147">
        <v>1.86</v>
      </c>
      <c r="G147">
        <v>2.1</v>
      </c>
      <c r="H147">
        <v>-0.8</v>
      </c>
      <c r="I147">
        <v>1</v>
      </c>
    </row>
    <row r="148" spans="1:9" x14ac:dyDescent="0.35">
      <c r="A148">
        <v>7</v>
      </c>
      <c r="B148" t="s">
        <v>301</v>
      </c>
      <c r="C148" t="s">
        <v>286</v>
      </c>
      <c r="D148">
        <v>14</v>
      </c>
      <c r="E148">
        <v>2.4</v>
      </c>
      <c r="F148">
        <v>1.74</v>
      </c>
      <c r="G148">
        <v>2.2000000000000002</v>
      </c>
      <c r="H148">
        <v>1</v>
      </c>
      <c r="I148">
        <v>1</v>
      </c>
    </row>
    <row r="149" spans="1:9" x14ac:dyDescent="0.35">
      <c r="A149">
        <v>7</v>
      </c>
      <c r="B149" t="s">
        <v>139</v>
      </c>
      <c r="C149" t="s">
        <v>278</v>
      </c>
      <c r="D149">
        <v>14</v>
      </c>
      <c r="E149">
        <v>3</v>
      </c>
      <c r="F149">
        <v>2.12</v>
      </c>
      <c r="G149">
        <v>3.2</v>
      </c>
      <c r="H149">
        <v>0.8</v>
      </c>
      <c r="I149">
        <v>1</v>
      </c>
    </row>
    <row r="150" spans="1:9" x14ac:dyDescent="0.35">
      <c r="A150">
        <v>7</v>
      </c>
      <c r="B150" t="s">
        <v>27</v>
      </c>
      <c r="C150" t="s">
        <v>256</v>
      </c>
      <c r="D150">
        <v>14</v>
      </c>
      <c r="E150">
        <v>2.2000000000000002</v>
      </c>
      <c r="F150">
        <v>1.56</v>
      </c>
      <c r="G150">
        <v>2</v>
      </c>
      <c r="H150">
        <v>0.8</v>
      </c>
      <c r="I150">
        <v>1</v>
      </c>
    </row>
    <row r="151" spans="1:9" x14ac:dyDescent="0.35">
      <c r="A151">
        <v>7</v>
      </c>
      <c r="B151" t="s">
        <v>216</v>
      </c>
      <c r="C151" t="s">
        <v>257</v>
      </c>
      <c r="D151">
        <v>14</v>
      </c>
      <c r="E151">
        <v>4.4000000000000004</v>
      </c>
      <c r="F151">
        <v>3.16</v>
      </c>
      <c r="G151">
        <v>4.4000000000000004</v>
      </c>
      <c r="H151">
        <v>3.5</v>
      </c>
      <c r="I151">
        <v>3</v>
      </c>
    </row>
    <row r="152" spans="1:9" x14ac:dyDescent="0.35">
      <c r="A152">
        <v>3</v>
      </c>
      <c r="B152" t="s">
        <v>25</v>
      </c>
      <c r="C152" t="s">
        <v>265</v>
      </c>
      <c r="D152">
        <v>14</v>
      </c>
      <c r="E152">
        <v>2.1</v>
      </c>
      <c r="F152">
        <v>1.47</v>
      </c>
      <c r="G152">
        <v>1.5</v>
      </c>
      <c r="H152">
        <v>3.5</v>
      </c>
      <c r="I152">
        <v>1</v>
      </c>
    </row>
    <row r="153" spans="1:9" x14ac:dyDescent="0.35">
      <c r="A153">
        <v>4</v>
      </c>
      <c r="B153" t="s">
        <v>330</v>
      </c>
      <c r="C153" t="s">
        <v>270</v>
      </c>
      <c r="D153">
        <v>14</v>
      </c>
      <c r="E153">
        <v>2.4</v>
      </c>
      <c r="F153">
        <v>1.72</v>
      </c>
      <c r="G153">
        <v>3.1</v>
      </c>
      <c r="H153">
        <v>8.5</v>
      </c>
      <c r="I153">
        <v>1</v>
      </c>
    </row>
    <row r="154" spans="1:9" x14ac:dyDescent="0.35">
      <c r="A154">
        <v>2</v>
      </c>
      <c r="B154" t="s">
        <v>218</v>
      </c>
      <c r="C154" t="s">
        <v>279</v>
      </c>
      <c r="D154">
        <v>14</v>
      </c>
      <c r="E154">
        <v>3.2</v>
      </c>
      <c r="F154">
        <v>2.2799999999999998</v>
      </c>
      <c r="G154">
        <v>3.4</v>
      </c>
      <c r="H154">
        <v>4</v>
      </c>
      <c r="I154">
        <v>1</v>
      </c>
    </row>
    <row r="155" spans="1:9" x14ac:dyDescent="0.35">
      <c r="A155">
        <v>7</v>
      </c>
      <c r="B155" t="s">
        <v>213</v>
      </c>
      <c r="C155" t="s">
        <v>299</v>
      </c>
      <c r="D155">
        <v>14</v>
      </c>
      <c r="E155">
        <v>2</v>
      </c>
      <c r="F155">
        <v>1.45</v>
      </c>
      <c r="G155">
        <v>2.2999999999999998</v>
      </c>
      <c r="H155">
        <v>1</v>
      </c>
      <c r="I155">
        <v>1</v>
      </c>
    </row>
    <row r="156" spans="1:9" x14ac:dyDescent="0.35">
      <c r="A156">
        <v>7</v>
      </c>
      <c r="B156" t="s">
        <v>197</v>
      </c>
      <c r="C156" t="s">
        <v>299</v>
      </c>
      <c r="D156">
        <v>14</v>
      </c>
      <c r="E156">
        <v>2.2000000000000002</v>
      </c>
      <c r="F156">
        <v>1.61</v>
      </c>
      <c r="G156">
        <v>2.6</v>
      </c>
      <c r="H156">
        <v>4.8</v>
      </c>
      <c r="I156">
        <v>1</v>
      </c>
    </row>
    <row r="157" spans="1:9" x14ac:dyDescent="0.35">
      <c r="A157">
        <v>6</v>
      </c>
      <c r="B157" t="s">
        <v>160</v>
      </c>
      <c r="C157" t="s">
        <v>284</v>
      </c>
      <c r="D157">
        <v>14</v>
      </c>
      <c r="E157">
        <v>2.6</v>
      </c>
      <c r="F157">
        <v>1.86</v>
      </c>
      <c r="G157">
        <v>2.7</v>
      </c>
      <c r="H157">
        <v>5.8</v>
      </c>
      <c r="I157">
        <v>1</v>
      </c>
    </row>
    <row r="158" spans="1:9" x14ac:dyDescent="0.35">
      <c r="A158">
        <v>2</v>
      </c>
      <c r="B158" t="s">
        <v>19</v>
      </c>
      <c r="C158" t="s">
        <v>294</v>
      </c>
      <c r="D158">
        <v>14</v>
      </c>
      <c r="E158">
        <v>2.2000000000000002</v>
      </c>
      <c r="F158">
        <v>1.6</v>
      </c>
      <c r="G158">
        <v>1.7</v>
      </c>
      <c r="H158">
        <v>-1</v>
      </c>
      <c r="I158">
        <v>1</v>
      </c>
    </row>
    <row r="159" spans="1:9" x14ac:dyDescent="0.35">
      <c r="A159">
        <v>5</v>
      </c>
      <c r="B159" t="s">
        <v>360</v>
      </c>
      <c r="C159" t="s">
        <v>260</v>
      </c>
      <c r="D159">
        <v>14</v>
      </c>
      <c r="E159">
        <v>1.6</v>
      </c>
      <c r="F159">
        <v>1.1200000000000001</v>
      </c>
      <c r="G159">
        <v>2.2999999999999998</v>
      </c>
      <c r="H159">
        <v>3.2</v>
      </c>
      <c r="I159">
        <v>1</v>
      </c>
    </row>
    <row r="160" spans="1:9" x14ac:dyDescent="0.35">
      <c r="A160">
        <v>4</v>
      </c>
      <c r="B160" t="s">
        <v>401</v>
      </c>
      <c r="C160" t="s">
        <v>291</v>
      </c>
      <c r="D160">
        <v>14</v>
      </c>
      <c r="E160">
        <v>2.5</v>
      </c>
      <c r="F160">
        <v>1.76</v>
      </c>
      <c r="G160">
        <v>2.5</v>
      </c>
      <c r="H160">
        <v>1.5</v>
      </c>
      <c r="I160">
        <v>3</v>
      </c>
    </row>
    <row r="161" spans="1:9" x14ac:dyDescent="0.35">
      <c r="A161">
        <v>5</v>
      </c>
      <c r="B161" t="s">
        <v>388</v>
      </c>
      <c r="C161" t="s">
        <v>258</v>
      </c>
      <c r="D161">
        <v>14</v>
      </c>
      <c r="E161">
        <v>3</v>
      </c>
      <c r="F161">
        <v>2.14</v>
      </c>
      <c r="G161">
        <v>3</v>
      </c>
      <c r="H161">
        <v>1</v>
      </c>
      <c r="I161">
        <v>1</v>
      </c>
    </row>
    <row r="162" spans="1:9" x14ac:dyDescent="0.35">
      <c r="A162">
        <v>7</v>
      </c>
      <c r="B162" t="s">
        <v>43</v>
      </c>
      <c r="C162" t="s">
        <v>273</v>
      </c>
      <c r="D162">
        <v>13</v>
      </c>
      <c r="E162">
        <v>4.2</v>
      </c>
      <c r="F162">
        <v>3.22</v>
      </c>
      <c r="G162">
        <v>4.9000000000000004</v>
      </c>
      <c r="H162">
        <v>0.2</v>
      </c>
      <c r="I162">
        <v>4</v>
      </c>
    </row>
    <row r="163" spans="1:9" x14ac:dyDescent="0.35">
      <c r="A163">
        <v>6</v>
      </c>
      <c r="B163" t="s">
        <v>203</v>
      </c>
      <c r="C163" t="s">
        <v>261</v>
      </c>
      <c r="D163">
        <v>13</v>
      </c>
      <c r="E163">
        <v>4</v>
      </c>
      <c r="F163">
        <v>3.05</v>
      </c>
      <c r="G163">
        <v>5</v>
      </c>
      <c r="H163">
        <v>4.5</v>
      </c>
      <c r="I163">
        <v>1</v>
      </c>
    </row>
    <row r="164" spans="1:9" x14ac:dyDescent="0.35">
      <c r="A164">
        <v>7</v>
      </c>
      <c r="B164" t="s">
        <v>68</v>
      </c>
      <c r="C164" t="s">
        <v>273</v>
      </c>
      <c r="D164">
        <v>13</v>
      </c>
      <c r="E164">
        <v>3.4</v>
      </c>
      <c r="F164">
        <v>2.6</v>
      </c>
      <c r="G164">
        <v>3.5</v>
      </c>
      <c r="H164">
        <v>8</v>
      </c>
      <c r="I164">
        <v>1</v>
      </c>
    </row>
    <row r="165" spans="1:9" x14ac:dyDescent="0.35">
      <c r="A165">
        <v>2</v>
      </c>
      <c r="B165" t="s">
        <v>114</v>
      </c>
      <c r="C165" t="s">
        <v>258</v>
      </c>
      <c r="D165">
        <v>13</v>
      </c>
      <c r="E165">
        <v>3.4</v>
      </c>
      <c r="F165">
        <v>2.6</v>
      </c>
      <c r="G165">
        <v>1.5</v>
      </c>
      <c r="H165">
        <v>4</v>
      </c>
      <c r="I165">
        <v>1</v>
      </c>
    </row>
    <row r="166" spans="1:9" x14ac:dyDescent="0.35">
      <c r="A166">
        <v>3</v>
      </c>
      <c r="B166" t="s">
        <v>64</v>
      </c>
      <c r="C166" t="s">
        <v>275</v>
      </c>
      <c r="D166">
        <v>13</v>
      </c>
      <c r="E166">
        <v>2.5</v>
      </c>
      <c r="F166">
        <v>1.94</v>
      </c>
      <c r="G166">
        <v>2.2999999999999998</v>
      </c>
      <c r="H166">
        <v>-0.5</v>
      </c>
      <c r="I166">
        <v>3</v>
      </c>
    </row>
    <row r="167" spans="1:9" x14ac:dyDescent="0.35">
      <c r="A167">
        <v>5</v>
      </c>
      <c r="B167" t="s">
        <v>53</v>
      </c>
      <c r="C167" t="s">
        <v>275</v>
      </c>
      <c r="D167">
        <v>13</v>
      </c>
      <c r="E167">
        <v>2.4</v>
      </c>
      <c r="F167">
        <v>1.86</v>
      </c>
      <c r="G167">
        <v>1.2</v>
      </c>
      <c r="H167">
        <v>0</v>
      </c>
      <c r="I167">
        <v>1</v>
      </c>
    </row>
    <row r="168" spans="1:9" x14ac:dyDescent="0.35">
      <c r="A168">
        <v>2</v>
      </c>
      <c r="B168" t="s">
        <v>196</v>
      </c>
      <c r="C168" t="s">
        <v>279</v>
      </c>
      <c r="D168">
        <v>13</v>
      </c>
      <c r="E168">
        <v>3.3</v>
      </c>
      <c r="F168">
        <v>2.5099999999999998</v>
      </c>
      <c r="G168">
        <v>3.2</v>
      </c>
      <c r="H168">
        <v>-0.8</v>
      </c>
      <c r="I168">
        <v>1</v>
      </c>
    </row>
    <row r="169" spans="1:9" x14ac:dyDescent="0.35">
      <c r="A169">
        <v>2</v>
      </c>
      <c r="B169" t="s">
        <v>297</v>
      </c>
      <c r="C169" t="s">
        <v>291</v>
      </c>
      <c r="D169">
        <v>13</v>
      </c>
      <c r="E169">
        <v>2.7</v>
      </c>
      <c r="F169">
        <v>2.0499999999999998</v>
      </c>
      <c r="G169">
        <v>1.6</v>
      </c>
      <c r="H169">
        <v>3.2</v>
      </c>
      <c r="I169">
        <v>6</v>
      </c>
    </row>
    <row r="170" spans="1:9" x14ac:dyDescent="0.35">
      <c r="A170">
        <v>4</v>
      </c>
      <c r="B170" t="s">
        <v>223</v>
      </c>
      <c r="C170" t="s">
        <v>299</v>
      </c>
      <c r="D170">
        <v>13</v>
      </c>
      <c r="E170">
        <v>2.6</v>
      </c>
      <c r="F170">
        <v>2.0299999999999998</v>
      </c>
      <c r="G170">
        <v>3.2</v>
      </c>
      <c r="H170">
        <v>1.8</v>
      </c>
      <c r="I170">
        <v>1</v>
      </c>
    </row>
    <row r="171" spans="1:9" x14ac:dyDescent="0.35">
      <c r="A171">
        <v>7</v>
      </c>
      <c r="B171" t="s">
        <v>361</v>
      </c>
      <c r="C171" t="s">
        <v>268</v>
      </c>
      <c r="D171">
        <v>13</v>
      </c>
      <c r="E171">
        <v>3.7</v>
      </c>
      <c r="F171">
        <v>2.82</v>
      </c>
      <c r="G171">
        <v>4.4000000000000004</v>
      </c>
      <c r="H171">
        <v>4.8</v>
      </c>
      <c r="I171">
        <v>3</v>
      </c>
    </row>
    <row r="172" spans="1:9" x14ac:dyDescent="0.35">
      <c r="A172">
        <v>7</v>
      </c>
      <c r="B172" t="s">
        <v>208</v>
      </c>
      <c r="C172" t="s">
        <v>279</v>
      </c>
      <c r="D172">
        <v>13</v>
      </c>
      <c r="E172">
        <v>2.6</v>
      </c>
      <c r="F172">
        <v>2.0299999999999998</v>
      </c>
      <c r="G172">
        <v>3.4</v>
      </c>
      <c r="H172">
        <v>7</v>
      </c>
      <c r="I172">
        <v>1</v>
      </c>
    </row>
    <row r="173" spans="1:9" x14ac:dyDescent="0.35">
      <c r="A173">
        <v>7</v>
      </c>
      <c r="B173" t="s">
        <v>62</v>
      </c>
      <c r="C173" t="s">
        <v>282</v>
      </c>
      <c r="D173">
        <v>13</v>
      </c>
      <c r="E173">
        <v>2.4</v>
      </c>
      <c r="F173">
        <v>1.88</v>
      </c>
      <c r="G173">
        <v>2.1</v>
      </c>
      <c r="H173">
        <v>1.5</v>
      </c>
      <c r="I173">
        <v>1</v>
      </c>
    </row>
    <row r="174" spans="1:9" x14ac:dyDescent="0.35">
      <c r="A174">
        <v>2</v>
      </c>
      <c r="B174" t="s">
        <v>127</v>
      </c>
      <c r="C174" t="s">
        <v>308</v>
      </c>
      <c r="D174">
        <v>13</v>
      </c>
      <c r="E174">
        <v>2</v>
      </c>
      <c r="F174">
        <v>1.57</v>
      </c>
      <c r="G174">
        <v>1.6</v>
      </c>
      <c r="H174">
        <v>0</v>
      </c>
      <c r="I174">
        <v>1</v>
      </c>
    </row>
    <row r="175" spans="1:9" x14ac:dyDescent="0.35">
      <c r="A175">
        <v>5</v>
      </c>
      <c r="B175" t="s">
        <v>207</v>
      </c>
      <c r="C175" t="s">
        <v>279</v>
      </c>
      <c r="D175">
        <v>13</v>
      </c>
      <c r="E175">
        <v>1.9</v>
      </c>
      <c r="F175">
        <v>1.45</v>
      </c>
      <c r="G175">
        <v>2.4</v>
      </c>
      <c r="H175">
        <v>1</v>
      </c>
      <c r="I175">
        <v>1</v>
      </c>
    </row>
    <row r="176" spans="1:9" x14ac:dyDescent="0.35">
      <c r="A176">
        <v>7</v>
      </c>
      <c r="B176" t="s">
        <v>221</v>
      </c>
      <c r="C176" t="s">
        <v>299</v>
      </c>
      <c r="D176">
        <v>13</v>
      </c>
      <c r="E176">
        <v>2</v>
      </c>
      <c r="F176">
        <v>1.51</v>
      </c>
      <c r="G176">
        <v>2.2999999999999998</v>
      </c>
      <c r="H176">
        <v>5.2</v>
      </c>
      <c r="I176">
        <v>1</v>
      </c>
    </row>
    <row r="177" spans="1:9" x14ac:dyDescent="0.35">
      <c r="A177">
        <v>2</v>
      </c>
      <c r="B177" t="s">
        <v>11</v>
      </c>
      <c r="C177" t="s">
        <v>265</v>
      </c>
      <c r="D177">
        <v>13</v>
      </c>
      <c r="E177">
        <v>2</v>
      </c>
      <c r="F177">
        <v>1.53</v>
      </c>
      <c r="G177">
        <v>1.5</v>
      </c>
      <c r="H177">
        <v>0</v>
      </c>
      <c r="I177">
        <v>1</v>
      </c>
    </row>
    <row r="178" spans="1:9" x14ac:dyDescent="0.35">
      <c r="A178">
        <v>7</v>
      </c>
      <c r="B178" t="s">
        <v>211</v>
      </c>
      <c r="C178" t="s">
        <v>279</v>
      </c>
      <c r="D178">
        <v>13</v>
      </c>
      <c r="E178">
        <v>1.9</v>
      </c>
      <c r="F178">
        <v>1.43</v>
      </c>
      <c r="G178">
        <v>2.5</v>
      </c>
      <c r="H178">
        <v>-1.5</v>
      </c>
      <c r="I178">
        <v>1</v>
      </c>
    </row>
    <row r="179" spans="1:9" x14ac:dyDescent="0.35">
      <c r="A179">
        <v>2</v>
      </c>
      <c r="B179" t="s">
        <v>357</v>
      </c>
      <c r="C179" t="s">
        <v>277</v>
      </c>
      <c r="D179">
        <v>13</v>
      </c>
      <c r="E179">
        <v>2.7</v>
      </c>
      <c r="F179">
        <v>2.04</v>
      </c>
      <c r="G179">
        <v>2.9</v>
      </c>
      <c r="H179">
        <v>7.5</v>
      </c>
      <c r="I179">
        <v>1</v>
      </c>
    </row>
    <row r="180" spans="1:9" x14ac:dyDescent="0.35">
      <c r="A180">
        <v>5</v>
      </c>
      <c r="B180" t="s">
        <v>58</v>
      </c>
      <c r="C180" t="s">
        <v>294</v>
      </c>
      <c r="D180">
        <v>13</v>
      </c>
      <c r="E180">
        <v>1.4</v>
      </c>
      <c r="F180">
        <v>1.1000000000000001</v>
      </c>
      <c r="G180">
        <v>1.6</v>
      </c>
      <c r="H180">
        <v>0</v>
      </c>
      <c r="I180">
        <v>1</v>
      </c>
    </row>
    <row r="181" spans="1:9" x14ac:dyDescent="0.35">
      <c r="A181">
        <v>4</v>
      </c>
      <c r="B181" t="s">
        <v>316</v>
      </c>
      <c r="C181" t="s">
        <v>286</v>
      </c>
      <c r="D181">
        <v>12</v>
      </c>
      <c r="E181">
        <v>3.1</v>
      </c>
      <c r="F181">
        <v>2.56</v>
      </c>
      <c r="G181">
        <v>2.9</v>
      </c>
      <c r="H181">
        <v>0.2</v>
      </c>
      <c r="I181">
        <v>1</v>
      </c>
    </row>
    <row r="182" spans="1:9" x14ac:dyDescent="0.35">
      <c r="A182">
        <v>7</v>
      </c>
      <c r="B182" t="s">
        <v>90</v>
      </c>
      <c r="C182" t="s">
        <v>273</v>
      </c>
      <c r="D182">
        <v>12</v>
      </c>
      <c r="E182">
        <v>4.5</v>
      </c>
      <c r="F182">
        <v>3.73</v>
      </c>
      <c r="G182">
        <v>5.9</v>
      </c>
      <c r="H182">
        <v>-0.8</v>
      </c>
      <c r="I182">
        <v>1</v>
      </c>
    </row>
    <row r="183" spans="1:9" x14ac:dyDescent="0.35">
      <c r="A183">
        <v>7</v>
      </c>
      <c r="B183" t="s">
        <v>205</v>
      </c>
      <c r="C183" t="s">
        <v>261</v>
      </c>
      <c r="D183">
        <v>12</v>
      </c>
      <c r="E183">
        <v>2.9</v>
      </c>
      <c r="F183">
        <v>2.38</v>
      </c>
      <c r="G183">
        <v>3.5</v>
      </c>
      <c r="H183">
        <v>1.8</v>
      </c>
      <c r="I183">
        <v>1</v>
      </c>
    </row>
    <row r="184" spans="1:9" x14ac:dyDescent="0.35">
      <c r="A184">
        <v>7</v>
      </c>
      <c r="B184" t="s">
        <v>307</v>
      </c>
      <c r="C184" t="s">
        <v>263</v>
      </c>
      <c r="D184">
        <v>12</v>
      </c>
      <c r="E184">
        <v>2.9</v>
      </c>
      <c r="F184">
        <v>2.38</v>
      </c>
      <c r="G184">
        <v>2.2999999999999998</v>
      </c>
      <c r="H184">
        <v>0</v>
      </c>
      <c r="I184">
        <v>3</v>
      </c>
    </row>
    <row r="185" spans="1:9" x14ac:dyDescent="0.35">
      <c r="A185">
        <v>5</v>
      </c>
      <c r="B185" t="s">
        <v>323</v>
      </c>
      <c r="C185" t="s">
        <v>268</v>
      </c>
      <c r="D185">
        <v>12</v>
      </c>
      <c r="E185">
        <v>2.9</v>
      </c>
      <c r="F185">
        <v>2.4500000000000002</v>
      </c>
      <c r="G185">
        <v>3.7</v>
      </c>
      <c r="H185">
        <v>0</v>
      </c>
      <c r="I185">
        <v>1</v>
      </c>
    </row>
    <row r="186" spans="1:9" x14ac:dyDescent="0.35">
      <c r="A186">
        <v>4</v>
      </c>
      <c r="B186" t="s">
        <v>317</v>
      </c>
      <c r="C186" t="s">
        <v>263</v>
      </c>
      <c r="D186">
        <v>12</v>
      </c>
      <c r="E186">
        <v>2.6</v>
      </c>
      <c r="F186">
        <v>2.13</v>
      </c>
      <c r="G186">
        <v>2.7</v>
      </c>
      <c r="H186">
        <v>1.2</v>
      </c>
      <c r="I186">
        <v>1</v>
      </c>
    </row>
    <row r="187" spans="1:9" x14ac:dyDescent="0.35">
      <c r="A187">
        <v>3</v>
      </c>
      <c r="B187" t="s">
        <v>38</v>
      </c>
      <c r="C187" t="s">
        <v>271</v>
      </c>
      <c r="D187">
        <v>12</v>
      </c>
      <c r="E187">
        <v>2.8</v>
      </c>
      <c r="F187">
        <v>2.33</v>
      </c>
      <c r="G187">
        <v>2.4</v>
      </c>
      <c r="H187">
        <v>0</v>
      </c>
      <c r="I187">
        <v>1</v>
      </c>
    </row>
    <row r="188" spans="1:9" x14ac:dyDescent="0.35">
      <c r="A188">
        <v>4</v>
      </c>
      <c r="B188" t="s">
        <v>32</v>
      </c>
      <c r="C188" t="s">
        <v>271</v>
      </c>
      <c r="D188">
        <v>12</v>
      </c>
      <c r="E188">
        <v>2.6</v>
      </c>
      <c r="F188">
        <v>2.13</v>
      </c>
      <c r="G188">
        <v>2.2999999999999998</v>
      </c>
      <c r="H188">
        <v>1</v>
      </c>
      <c r="I188">
        <v>1</v>
      </c>
    </row>
    <row r="189" spans="1:9" x14ac:dyDescent="0.35">
      <c r="A189">
        <v>7</v>
      </c>
      <c r="B189" t="s">
        <v>215</v>
      </c>
      <c r="C189" t="s">
        <v>279</v>
      </c>
      <c r="D189">
        <v>12</v>
      </c>
      <c r="E189">
        <v>2.4</v>
      </c>
      <c r="F189">
        <v>2.0299999999999998</v>
      </c>
      <c r="G189">
        <v>4.0999999999999996</v>
      </c>
      <c r="H189">
        <v>5.8</v>
      </c>
      <c r="I189">
        <v>3</v>
      </c>
    </row>
    <row r="190" spans="1:9" x14ac:dyDescent="0.35">
      <c r="A190">
        <v>4</v>
      </c>
      <c r="B190" t="s">
        <v>305</v>
      </c>
      <c r="C190" t="s">
        <v>263</v>
      </c>
      <c r="D190">
        <v>12</v>
      </c>
      <c r="E190">
        <v>2.6</v>
      </c>
      <c r="F190">
        <v>2.13</v>
      </c>
      <c r="G190">
        <v>2.2999999999999998</v>
      </c>
      <c r="H190">
        <v>-0.8</v>
      </c>
      <c r="I190">
        <v>1</v>
      </c>
    </row>
    <row r="191" spans="1:9" x14ac:dyDescent="0.35">
      <c r="A191">
        <v>7</v>
      </c>
      <c r="B191" t="s">
        <v>191</v>
      </c>
      <c r="C191" t="s">
        <v>264</v>
      </c>
      <c r="D191">
        <v>12</v>
      </c>
      <c r="E191">
        <v>2.4</v>
      </c>
      <c r="F191">
        <v>1.97</v>
      </c>
      <c r="G191">
        <v>2.1</v>
      </c>
      <c r="H191">
        <v>1</v>
      </c>
      <c r="I191">
        <v>1</v>
      </c>
    </row>
    <row r="192" spans="1:9" x14ac:dyDescent="0.35">
      <c r="A192">
        <v>7</v>
      </c>
      <c r="B192" t="s">
        <v>343</v>
      </c>
      <c r="C192" t="s">
        <v>277</v>
      </c>
      <c r="D192">
        <v>12</v>
      </c>
      <c r="E192">
        <v>2.1</v>
      </c>
      <c r="F192">
        <v>1.77</v>
      </c>
      <c r="G192">
        <v>3</v>
      </c>
      <c r="H192">
        <v>9.1999999999999993</v>
      </c>
      <c r="I192">
        <v>1</v>
      </c>
    </row>
    <row r="193" spans="1:9" x14ac:dyDescent="0.35">
      <c r="A193">
        <v>2</v>
      </c>
      <c r="B193" t="s">
        <v>332</v>
      </c>
      <c r="C193" t="s">
        <v>311</v>
      </c>
      <c r="D193">
        <v>12</v>
      </c>
      <c r="E193">
        <v>3.9</v>
      </c>
      <c r="F193">
        <v>3.26</v>
      </c>
      <c r="G193">
        <v>4.2</v>
      </c>
      <c r="H193">
        <v>12</v>
      </c>
      <c r="I193">
        <v>1</v>
      </c>
    </row>
    <row r="194" spans="1:9" x14ac:dyDescent="0.35">
      <c r="A194">
        <v>4</v>
      </c>
      <c r="B194" t="s">
        <v>202</v>
      </c>
      <c r="C194" t="s">
        <v>272</v>
      </c>
      <c r="D194">
        <v>12</v>
      </c>
      <c r="E194">
        <v>2.2000000000000002</v>
      </c>
      <c r="F194">
        <v>1.82</v>
      </c>
      <c r="G194">
        <v>1.4</v>
      </c>
      <c r="H194">
        <v>2.5</v>
      </c>
      <c r="I194">
        <v>1</v>
      </c>
    </row>
    <row r="195" spans="1:9" x14ac:dyDescent="0.35">
      <c r="A195">
        <v>3</v>
      </c>
      <c r="B195" t="s">
        <v>228</v>
      </c>
      <c r="C195" t="s">
        <v>279</v>
      </c>
      <c r="D195">
        <v>12</v>
      </c>
      <c r="E195">
        <v>2.4</v>
      </c>
      <c r="F195">
        <v>2.02</v>
      </c>
      <c r="G195">
        <v>3.9</v>
      </c>
      <c r="H195">
        <v>4.5</v>
      </c>
      <c r="I195">
        <v>1</v>
      </c>
    </row>
    <row r="196" spans="1:9" x14ac:dyDescent="0.35">
      <c r="A196">
        <v>2</v>
      </c>
      <c r="B196" t="s">
        <v>60</v>
      </c>
      <c r="C196" t="s">
        <v>255</v>
      </c>
      <c r="D196">
        <v>12</v>
      </c>
      <c r="E196">
        <v>3.3</v>
      </c>
      <c r="F196">
        <v>2.74</v>
      </c>
      <c r="G196">
        <v>4.2</v>
      </c>
      <c r="H196">
        <v>0.2</v>
      </c>
      <c r="I196">
        <v>1</v>
      </c>
    </row>
    <row r="197" spans="1:9" x14ac:dyDescent="0.35">
      <c r="A197">
        <v>7</v>
      </c>
      <c r="B197" t="s">
        <v>137</v>
      </c>
      <c r="C197" t="s">
        <v>308</v>
      </c>
      <c r="D197">
        <v>12</v>
      </c>
      <c r="E197">
        <v>2.2000000000000002</v>
      </c>
      <c r="F197">
        <v>1.84</v>
      </c>
      <c r="G197">
        <v>2.2999999999999998</v>
      </c>
      <c r="H197">
        <v>3</v>
      </c>
      <c r="I197">
        <v>3</v>
      </c>
    </row>
    <row r="198" spans="1:9" x14ac:dyDescent="0.35">
      <c r="A198">
        <v>3</v>
      </c>
      <c r="B198" t="s">
        <v>148</v>
      </c>
      <c r="C198" t="s">
        <v>258</v>
      </c>
      <c r="D198">
        <v>12</v>
      </c>
      <c r="E198">
        <v>2.1</v>
      </c>
      <c r="F198">
        <v>1.76</v>
      </c>
      <c r="G198">
        <v>2.8</v>
      </c>
      <c r="H198">
        <v>8.5</v>
      </c>
      <c r="I198">
        <v>3</v>
      </c>
    </row>
    <row r="199" spans="1:9" x14ac:dyDescent="0.35">
      <c r="A199">
        <v>5</v>
      </c>
      <c r="B199" t="s">
        <v>73</v>
      </c>
      <c r="C199" t="s">
        <v>282</v>
      </c>
      <c r="D199">
        <v>12</v>
      </c>
      <c r="E199">
        <v>2.8</v>
      </c>
      <c r="F199">
        <v>2.31</v>
      </c>
      <c r="G199">
        <v>3.4</v>
      </c>
      <c r="H199">
        <v>14.5</v>
      </c>
      <c r="I199">
        <v>5</v>
      </c>
    </row>
    <row r="200" spans="1:9" x14ac:dyDescent="0.35">
      <c r="A200">
        <v>7</v>
      </c>
      <c r="B200" t="s">
        <v>40</v>
      </c>
      <c r="C200" t="s">
        <v>275</v>
      </c>
      <c r="D200">
        <v>12</v>
      </c>
      <c r="E200">
        <v>1.7</v>
      </c>
      <c r="F200">
        <v>1.39</v>
      </c>
      <c r="G200">
        <v>0.7</v>
      </c>
      <c r="H200">
        <v>1.8</v>
      </c>
      <c r="I200">
        <v>3</v>
      </c>
    </row>
    <row r="201" spans="1:9" x14ac:dyDescent="0.35">
      <c r="A201">
        <v>3</v>
      </c>
      <c r="B201" t="s">
        <v>161</v>
      </c>
      <c r="C201" t="s">
        <v>284</v>
      </c>
      <c r="D201">
        <v>12</v>
      </c>
      <c r="E201">
        <v>2.1</v>
      </c>
      <c r="F201">
        <v>1.79</v>
      </c>
      <c r="G201">
        <v>2.2999999999999998</v>
      </c>
      <c r="H201">
        <v>7</v>
      </c>
      <c r="I201">
        <v>1</v>
      </c>
    </row>
    <row r="202" spans="1:9" x14ac:dyDescent="0.35">
      <c r="A202">
        <v>7</v>
      </c>
      <c r="B202" t="s">
        <v>331</v>
      </c>
      <c r="C202" t="s">
        <v>304</v>
      </c>
      <c r="D202">
        <v>12</v>
      </c>
      <c r="E202">
        <v>1.7</v>
      </c>
      <c r="F202">
        <v>1.4</v>
      </c>
      <c r="G202">
        <v>0.8</v>
      </c>
      <c r="H202">
        <v>-1.5</v>
      </c>
      <c r="I202">
        <v>3</v>
      </c>
    </row>
    <row r="203" spans="1:9" x14ac:dyDescent="0.35">
      <c r="A203">
        <v>7</v>
      </c>
      <c r="B203" t="s">
        <v>372</v>
      </c>
      <c r="C203" t="s">
        <v>314</v>
      </c>
      <c r="D203">
        <v>12</v>
      </c>
      <c r="E203">
        <v>1.8</v>
      </c>
      <c r="F203">
        <v>1.52</v>
      </c>
      <c r="G203">
        <v>2.4</v>
      </c>
      <c r="H203">
        <v>3.2</v>
      </c>
      <c r="I203">
        <v>5</v>
      </c>
    </row>
    <row r="204" spans="1:9" x14ac:dyDescent="0.35">
      <c r="A204">
        <v>2</v>
      </c>
      <c r="B204" t="s">
        <v>351</v>
      </c>
      <c r="C204" t="s">
        <v>304</v>
      </c>
      <c r="D204">
        <v>12</v>
      </c>
      <c r="E204">
        <v>1.9</v>
      </c>
      <c r="F204">
        <v>1.58</v>
      </c>
      <c r="G204">
        <v>2.1</v>
      </c>
      <c r="H204">
        <v>2.8</v>
      </c>
      <c r="I204">
        <v>6</v>
      </c>
    </row>
    <row r="205" spans="1:9" x14ac:dyDescent="0.35">
      <c r="A205">
        <v>3</v>
      </c>
      <c r="B205" t="s">
        <v>338</v>
      </c>
      <c r="C205" t="s">
        <v>260</v>
      </c>
      <c r="D205">
        <v>12</v>
      </c>
      <c r="E205">
        <v>1.8</v>
      </c>
      <c r="F205">
        <v>1.5</v>
      </c>
      <c r="G205">
        <v>0.7</v>
      </c>
      <c r="H205">
        <v>2.2000000000000002</v>
      </c>
      <c r="I205">
        <v>1</v>
      </c>
    </row>
    <row r="206" spans="1:9" x14ac:dyDescent="0.35">
      <c r="A206">
        <v>7</v>
      </c>
      <c r="B206" t="s">
        <v>224</v>
      </c>
      <c r="C206" t="s">
        <v>283</v>
      </c>
      <c r="D206">
        <v>12</v>
      </c>
      <c r="E206">
        <v>2.6</v>
      </c>
      <c r="F206">
        <v>2.2000000000000002</v>
      </c>
      <c r="G206">
        <v>2.6</v>
      </c>
      <c r="H206">
        <v>5</v>
      </c>
      <c r="I206">
        <v>1</v>
      </c>
    </row>
    <row r="207" spans="1:9" x14ac:dyDescent="0.35">
      <c r="A207">
        <v>2</v>
      </c>
      <c r="B207" t="s">
        <v>356</v>
      </c>
      <c r="C207" t="s">
        <v>268</v>
      </c>
      <c r="D207">
        <v>12</v>
      </c>
      <c r="E207">
        <v>1.8</v>
      </c>
      <c r="F207">
        <v>1.49</v>
      </c>
      <c r="G207">
        <v>1.6</v>
      </c>
      <c r="H207">
        <v>-0.8</v>
      </c>
      <c r="I207">
        <v>1</v>
      </c>
    </row>
    <row r="208" spans="1:9" x14ac:dyDescent="0.35">
      <c r="A208">
        <v>2</v>
      </c>
      <c r="B208" t="s">
        <v>408</v>
      </c>
      <c r="C208" t="s">
        <v>282</v>
      </c>
      <c r="D208">
        <v>12</v>
      </c>
      <c r="E208">
        <v>3.1</v>
      </c>
      <c r="F208">
        <v>2.62</v>
      </c>
      <c r="G208">
        <v>-0.9</v>
      </c>
      <c r="H208">
        <v>-0.8</v>
      </c>
      <c r="I208">
        <v>1</v>
      </c>
    </row>
    <row r="209" spans="1:9" x14ac:dyDescent="0.35">
      <c r="A209">
        <v>5</v>
      </c>
      <c r="B209" t="s">
        <v>300</v>
      </c>
      <c r="C209" t="s">
        <v>286</v>
      </c>
      <c r="D209">
        <v>11</v>
      </c>
      <c r="E209">
        <v>2.6</v>
      </c>
      <c r="F209">
        <v>2.41</v>
      </c>
      <c r="G209">
        <v>2.2000000000000002</v>
      </c>
      <c r="H209">
        <v>1.2</v>
      </c>
      <c r="I209">
        <v>1</v>
      </c>
    </row>
    <row r="210" spans="1:9" x14ac:dyDescent="0.35">
      <c r="A210">
        <v>2</v>
      </c>
      <c r="B210" t="s">
        <v>232</v>
      </c>
      <c r="C210" t="s">
        <v>266</v>
      </c>
      <c r="D210">
        <v>11</v>
      </c>
      <c r="E210">
        <v>2.6</v>
      </c>
      <c r="F210">
        <v>2.4</v>
      </c>
      <c r="G210">
        <v>4.0999999999999996</v>
      </c>
      <c r="H210">
        <v>0</v>
      </c>
      <c r="I210">
        <v>4</v>
      </c>
    </row>
    <row r="211" spans="1:9" x14ac:dyDescent="0.35">
      <c r="A211">
        <v>2</v>
      </c>
      <c r="B211" t="s">
        <v>84</v>
      </c>
      <c r="C211" t="s">
        <v>255</v>
      </c>
      <c r="D211">
        <v>11</v>
      </c>
      <c r="E211">
        <v>3.7</v>
      </c>
      <c r="F211">
        <v>3.36</v>
      </c>
      <c r="G211">
        <v>4.8</v>
      </c>
      <c r="H211">
        <v>4.5</v>
      </c>
      <c r="I211">
        <v>1</v>
      </c>
    </row>
    <row r="212" spans="1:9" x14ac:dyDescent="0.35">
      <c r="A212">
        <v>7</v>
      </c>
      <c r="B212" t="s">
        <v>63</v>
      </c>
      <c r="C212" t="s">
        <v>256</v>
      </c>
      <c r="D212">
        <v>11</v>
      </c>
      <c r="E212">
        <v>2.2000000000000002</v>
      </c>
      <c r="F212">
        <v>2.0099999999999998</v>
      </c>
      <c r="G212">
        <v>2.4</v>
      </c>
      <c r="H212">
        <v>1.8</v>
      </c>
      <c r="I212">
        <v>4</v>
      </c>
    </row>
    <row r="213" spans="1:9" x14ac:dyDescent="0.35">
      <c r="A213">
        <v>7</v>
      </c>
      <c r="B213" t="s">
        <v>329</v>
      </c>
      <c r="C213" t="s">
        <v>268</v>
      </c>
      <c r="D213">
        <v>11</v>
      </c>
      <c r="E213">
        <v>3.3</v>
      </c>
      <c r="F213">
        <v>2.99</v>
      </c>
      <c r="G213">
        <v>2.6</v>
      </c>
      <c r="H213">
        <v>4</v>
      </c>
      <c r="I213">
        <v>1</v>
      </c>
    </row>
    <row r="214" spans="1:9" x14ac:dyDescent="0.35">
      <c r="A214">
        <v>7</v>
      </c>
      <c r="B214" t="s">
        <v>118</v>
      </c>
      <c r="C214" t="s">
        <v>273</v>
      </c>
      <c r="D214">
        <v>11</v>
      </c>
      <c r="E214">
        <v>2.2000000000000002</v>
      </c>
      <c r="F214">
        <v>1.96</v>
      </c>
      <c r="G214">
        <v>1</v>
      </c>
      <c r="H214">
        <v>0.8</v>
      </c>
      <c r="I214">
        <v>1</v>
      </c>
    </row>
    <row r="215" spans="1:9" x14ac:dyDescent="0.35">
      <c r="A215">
        <v>6</v>
      </c>
      <c r="B215" t="s">
        <v>206</v>
      </c>
      <c r="C215" t="s">
        <v>279</v>
      </c>
      <c r="D215">
        <v>11</v>
      </c>
      <c r="E215">
        <v>2.1</v>
      </c>
      <c r="F215">
        <v>1.87</v>
      </c>
      <c r="G215">
        <v>1.6</v>
      </c>
      <c r="H215">
        <v>1.2</v>
      </c>
      <c r="I215">
        <v>1</v>
      </c>
    </row>
    <row r="216" spans="1:9" x14ac:dyDescent="0.35">
      <c r="A216">
        <v>6</v>
      </c>
      <c r="B216" t="s">
        <v>48</v>
      </c>
      <c r="C216" t="s">
        <v>283</v>
      </c>
      <c r="D216">
        <v>11</v>
      </c>
      <c r="E216">
        <v>1.7</v>
      </c>
      <c r="F216">
        <v>1.52</v>
      </c>
      <c r="G216">
        <v>2.5</v>
      </c>
      <c r="H216">
        <v>1</v>
      </c>
      <c r="I216">
        <v>3</v>
      </c>
    </row>
    <row r="217" spans="1:9" x14ac:dyDescent="0.35">
      <c r="A217">
        <v>7</v>
      </c>
      <c r="B217" t="s">
        <v>133</v>
      </c>
      <c r="C217" t="s">
        <v>275</v>
      </c>
      <c r="D217">
        <v>11</v>
      </c>
      <c r="E217">
        <v>2</v>
      </c>
      <c r="F217">
        <v>1.85</v>
      </c>
      <c r="G217">
        <v>2</v>
      </c>
      <c r="H217">
        <v>0.8</v>
      </c>
      <c r="I217">
        <v>1</v>
      </c>
    </row>
    <row r="218" spans="1:9" x14ac:dyDescent="0.35">
      <c r="A218">
        <v>4</v>
      </c>
      <c r="B218" t="s">
        <v>134</v>
      </c>
      <c r="C218" t="s">
        <v>284</v>
      </c>
      <c r="D218">
        <v>11</v>
      </c>
      <c r="E218">
        <v>2</v>
      </c>
      <c r="F218">
        <v>1.8</v>
      </c>
      <c r="G218">
        <v>2.4</v>
      </c>
      <c r="H218">
        <v>1.8</v>
      </c>
      <c r="I218">
        <v>1</v>
      </c>
    </row>
    <row r="219" spans="1:9" x14ac:dyDescent="0.35">
      <c r="A219">
        <v>5</v>
      </c>
      <c r="B219" t="s">
        <v>70</v>
      </c>
      <c r="C219" t="s">
        <v>271</v>
      </c>
      <c r="D219">
        <v>11</v>
      </c>
      <c r="E219">
        <v>2.2000000000000002</v>
      </c>
      <c r="F219">
        <v>1.96</v>
      </c>
      <c r="G219">
        <v>2.2000000000000002</v>
      </c>
      <c r="H219">
        <v>0.2</v>
      </c>
      <c r="I219">
        <v>3</v>
      </c>
    </row>
    <row r="220" spans="1:9" x14ac:dyDescent="0.35">
      <c r="A220">
        <v>7</v>
      </c>
      <c r="B220" t="s">
        <v>347</v>
      </c>
      <c r="C220" t="s">
        <v>270</v>
      </c>
      <c r="D220">
        <v>11</v>
      </c>
      <c r="E220">
        <v>1.4</v>
      </c>
      <c r="F220">
        <v>1.24</v>
      </c>
      <c r="G220">
        <v>1.6</v>
      </c>
      <c r="H220">
        <v>-0.8</v>
      </c>
      <c r="I220">
        <v>1</v>
      </c>
    </row>
    <row r="221" spans="1:9" x14ac:dyDescent="0.35">
      <c r="A221">
        <v>2</v>
      </c>
      <c r="B221" t="s">
        <v>345</v>
      </c>
      <c r="C221" t="s">
        <v>263</v>
      </c>
      <c r="D221">
        <v>11</v>
      </c>
      <c r="E221">
        <v>1.4</v>
      </c>
      <c r="F221">
        <v>1.31</v>
      </c>
      <c r="G221">
        <v>1.5</v>
      </c>
      <c r="H221">
        <v>-0.8</v>
      </c>
      <c r="I221">
        <v>1</v>
      </c>
    </row>
    <row r="222" spans="1:9" x14ac:dyDescent="0.35">
      <c r="A222">
        <v>4</v>
      </c>
      <c r="B222" t="s">
        <v>98</v>
      </c>
      <c r="C222" t="s">
        <v>282</v>
      </c>
      <c r="D222">
        <v>11</v>
      </c>
      <c r="E222">
        <v>2.2999999999999998</v>
      </c>
      <c r="F222">
        <v>2.09</v>
      </c>
      <c r="G222">
        <v>2.8</v>
      </c>
      <c r="H222">
        <v>4.5</v>
      </c>
      <c r="I222">
        <v>1</v>
      </c>
    </row>
    <row r="223" spans="1:9" x14ac:dyDescent="0.35">
      <c r="A223">
        <v>2</v>
      </c>
      <c r="B223" t="s">
        <v>349</v>
      </c>
      <c r="C223" t="s">
        <v>286</v>
      </c>
      <c r="D223">
        <v>11</v>
      </c>
      <c r="E223">
        <v>1.9</v>
      </c>
      <c r="F223">
        <v>1.69</v>
      </c>
      <c r="G223">
        <v>2.2000000000000002</v>
      </c>
      <c r="H223">
        <v>-0.8</v>
      </c>
      <c r="I223">
        <v>4</v>
      </c>
    </row>
    <row r="224" spans="1:9" x14ac:dyDescent="0.35">
      <c r="A224">
        <v>2</v>
      </c>
      <c r="B224" t="s">
        <v>92</v>
      </c>
      <c r="C224" t="s">
        <v>283</v>
      </c>
      <c r="D224">
        <v>11</v>
      </c>
      <c r="E224">
        <v>2.4</v>
      </c>
      <c r="F224">
        <v>2.17</v>
      </c>
      <c r="G224">
        <v>1.4</v>
      </c>
      <c r="H224">
        <v>3.8</v>
      </c>
      <c r="I224">
        <v>1</v>
      </c>
    </row>
    <row r="225" spans="1:9" x14ac:dyDescent="0.35">
      <c r="A225">
        <v>7</v>
      </c>
      <c r="B225" t="s">
        <v>184</v>
      </c>
      <c r="C225" t="s">
        <v>264</v>
      </c>
      <c r="D225">
        <v>10</v>
      </c>
      <c r="E225">
        <v>2.8</v>
      </c>
      <c r="F225">
        <v>2.85</v>
      </c>
      <c r="G225">
        <v>4</v>
      </c>
      <c r="H225">
        <v>0</v>
      </c>
      <c r="I225">
        <v>1</v>
      </c>
    </row>
    <row r="226" spans="1:9" x14ac:dyDescent="0.35">
      <c r="A226">
        <v>2</v>
      </c>
      <c r="B226" t="s">
        <v>335</v>
      </c>
      <c r="C226" t="s">
        <v>311</v>
      </c>
      <c r="D226">
        <v>10</v>
      </c>
      <c r="E226">
        <v>3.6</v>
      </c>
      <c r="F226">
        <v>3.57</v>
      </c>
      <c r="G226">
        <v>3.5</v>
      </c>
      <c r="H226">
        <v>14.8</v>
      </c>
      <c r="I226">
        <v>2</v>
      </c>
    </row>
    <row r="227" spans="1:9" x14ac:dyDescent="0.35">
      <c r="A227">
        <v>4</v>
      </c>
      <c r="B227" t="s">
        <v>10</v>
      </c>
      <c r="C227" t="s">
        <v>256</v>
      </c>
      <c r="D227">
        <v>10</v>
      </c>
      <c r="E227">
        <v>2.1</v>
      </c>
      <c r="F227">
        <v>2.11</v>
      </c>
      <c r="G227">
        <v>1.2</v>
      </c>
      <c r="H227">
        <v>-1.5</v>
      </c>
      <c r="I227">
        <v>1</v>
      </c>
    </row>
    <row r="228" spans="1:9" x14ac:dyDescent="0.35">
      <c r="A228">
        <v>6</v>
      </c>
      <c r="B228" t="s">
        <v>326</v>
      </c>
      <c r="C228" t="s">
        <v>268</v>
      </c>
      <c r="D228">
        <v>10</v>
      </c>
      <c r="E228">
        <v>2.4</v>
      </c>
      <c r="F228">
        <v>2.38</v>
      </c>
      <c r="G228">
        <v>1.6</v>
      </c>
      <c r="H228">
        <v>2.5</v>
      </c>
      <c r="I228">
        <v>8</v>
      </c>
    </row>
    <row r="229" spans="1:9" x14ac:dyDescent="0.35">
      <c r="A229">
        <v>2</v>
      </c>
      <c r="B229" t="s">
        <v>298</v>
      </c>
      <c r="C229" t="s">
        <v>270</v>
      </c>
      <c r="D229">
        <v>10</v>
      </c>
      <c r="E229">
        <v>2.6</v>
      </c>
      <c r="F229">
        <v>2.56</v>
      </c>
      <c r="G229">
        <v>3.4</v>
      </c>
      <c r="H229">
        <v>-0.8</v>
      </c>
      <c r="I229">
        <v>2</v>
      </c>
    </row>
    <row r="230" spans="1:9" x14ac:dyDescent="0.35">
      <c r="A230">
        <v>7</v>
      </c>
      <c r="B230" t="s">
        <v>34</v>
      </c>
      <c r="C230" t="s">
        <v>255</v>
      </c>
      <c r="D230">
        <v>10</v>
      </c>
      <c r="E230">
        <v>2</v>
      </c>
      <c r="F230">
        <v>1.96</v>
      </c>
      <c r="G230">
        <v>1.8</v>
      </c>
      <c r="H230">
        <v>-2.2000000000000002</v>
      </c>
      <c r="I230">
        <v>1</v>
      </c>
    </row>
    <row r="231" spans="1:9" x14ac:dyDescent="0.35">
      <c r="A231">
        <v>7</v>
      </c>
      <c r="B231" t="s">
        <v>37</v>
      </c>
      <c r="C231" t="s">
        <v>265</v>
      </c>
      <c r="D231">
        <v>10</v>
      </c>
      <c r="E231">
        <v>1.9</v>
      </c>
      <c r="F231">
        <v>1.88</v>
      </c>
      <c r="G231">
        <v>1.6</v>
      </c>
      <c r="H231">
        <v>-0.8</v>
      </c>
      <c r="I231">
        <v>1</v>
      </c>
    </row>
    <row r="232" spans="1:9" x14ac:dyDescent="0.35">
      <c r="A232">
        <v>7</v>
      </c>
      <c r="B232" t="s">
        <v>51</v>
      </c>
      <c r="C232" t="s">
        <v>255</v>
      </c>
      <c r="D232">
        <v>10</v>
      </c>
      <c r="E232">
        <v>1.4</v>
      </c>
      <c r="F232">
        <v>1.45</v>
      </c>
      <c r="G232">
        <v>1.9</v>
      </c>
      <c r="H232">
        <v>10.5</v>
      </c>
      <c r="I232">
        <v>3</v>
      </c>
    </row>
    <row r="233" spans="1:9" x14ac:dyDescent="0.35">
      <c r="A233">
        <v>7</v>
      </c>
      <c r="B233" t="s">
        <v>354</v>
      </c>
      <c r="C233" t="s">
        <v>314</v>
      </c>
      <c r="D233">
        <v>10</v>
      </c>
      <c r="E233">
        <v>1.4</v>
      </c>
      <c r="F233">
        <v>1.36</v>
      </c>
      <c r="G233">
        <v>1.3</v>
      </c>
      <c r="H233">
        <v>3.5</v>
      </c>
      <c r="I233">
        <v>1</v>
      </c>
    </row>
    <row r="234" spans="1:9" x14ac:dyDescent="0.35">
      <c r="A234">
        <v>2</v>
      </c>
      <c r="B234" t="s">
        <v>23</v>
      </c>
      <c r="C234" t="s">
        <v>271</v>
      </c>
      <c r="D234">
        <v>10</v>
      </c>
      <c r="E234">
        <v>1.8</v>
      </c>
      <c r="F234">
        <v>1.82</v>
      </c>
      <c r="G234">
        <v>1.2</v>
      </c>
      <c r="H234">
        <v>-0.8</v>
      </c>
      <c r="I234">
        <v>5</v>
      </c>
    </row>
    <row r="235" spans="1:9" x14ac:dyDescent="0.35">
      <c r="A235">
        <v>2</v>
      </c>
      <c r="B235" t="s">
        <v>129</v>
      </c>
      <c r="C235" t="s">
        <v>284</v>
      </c>
      <c r="D235">
        <v>10</v>
      </c>
      <c r="E235">
        <v>3.1</v>
      </c>
      <c r="F235">
        <v>3.12</v>
      </c>
      <c r="G235">
        <v>3.1</v>
      </c>
      <c r="H235">
        <v>-0.2</v>
      </c>
      <c r="I235">
        <v>4</v>
      </c>
    </row>
    <row r="236" spans="1:9" x14ac:dyDescent="0.35">
      <c r="A236">
        <v>2</v>
      </c>
      <c r="B236" t="s">
        <v>67</v>
      </c>
      <c r="C236" t="s">
        <v>294</v>
      </c>
      <c r="D236">
        <v>10</v>
      </c>
      <c r="E236">
        <v>2.2999999999999998</v>
      </c>
      <c r="F236">
        <v>2.2999999999999998</v>
      </c>
      <c r="G236">
        <v>3.2</v>
      </c>
      <c r="H236">
        <v>6.2</v>
      </c>
      <c r="I236">
        <v>3</v>
      </c>
    </row>
    <row r="237" spans="1:9" x14ac:dyDescent="0.35">
      <c r="A237">
        <v>7</v>
      </c>
      <c r="B237" t="s">
        <v>75</v>
      </c>
      <c r="C237" t="s">
        <v>294</v>
      </c>
      <c r="D237">
        <v>10</v>
      </c>
      <c r="E237">
        <v>1.4</v>
      </c>
      <c r="F237">
        <v>1.44</v>
      </c>
      <c r="G237">
        <v>1.3</v>
      </c>
      <c r="H237">
        <v>-0.8</v>
      </c>
      <c r="I237">
        <v>3</v>
      </c>
    </row>
    <row r="238" spans="1:9" x14ac:dyDescent="0.35">
      <c r="A238">
        <v>3</v>
      </c>
      <c r="B238" t="s">
        <v>74</v>
      </c>
      <c r="C238" t="s">
        <v>273</v>
      </c>
      <c r="D238">
        <v>10</v>
      </c>
      <c r="E238">
        <v>1.7</v>
      </c>
      <c r="F238">
        <v>1.67</v>
      </c>
      <c r="G238">
        <v>1.8</v>
      </c>
      <c r="H238">
        <v>1</v>
      </c>
      <c r="I238">
        <v>1</v>
      </c>
    </row>
    <row r="239" spans="1:9" x14ac:dyDescent="0.35">
      <c r="A239">
        <v>4</v>
      </c>
      <c r="B239" t="s">
        <v>382</v>
      </c>
      <c r="C239" t="s">
        <v>260</v>
      </c>
      <c r="D239">
        <v>10</v>
      </c>
      <c r="E239">
        <v>1.3</v>
      </c>
      <c r="F239">
        <v>1.29</v>
      </c>
      <c r="G239">
        <v>1.6</v>
      </c>
      <c r="H239">
        <v>2</v>
      </c>
      <c r="I239">
        <v>1</v>
      </c>
    </row>
    <row r="240" spans="1:9" x14ac:dyDescent="0.35">
      <c r="A240">
        <v>3</v>
      </c>
      <c r="B240" t="s">
        <v>421</v>
      </c>
      <c r="C240" t="s">
        <v>278</v>
      </c>
      <c r="D240">
        <v>10</v>
      </c>
      <c r="E240">
        <v>3.8</v>
      </c>
      <c r="F240">
        <v>3.75</v>
      </c>
      <c r="G240">
        <v>3.8</v>
      </c>
      <c r="H240">
        <v>8.8000000000000007</v>
      </c>
      <c r="I240">
        <v>1</v>
      </c>
    </row>
    <row r="241" spans="1:9" x14ac:dyDescent="0.35">
      <c r="A241">
        <v>2</v>
      </c>
      <c r="B241" t="s">
        <v>385</v>
      </c>
      <c r="C241" t="s">
        <v>260</v>
      </c>
      <c r="D241">
        <v>10</v>
      </c>
      <c r="E241">
        <v>2.2000000000000002</v>
      </c>
      <c r="F241">
        <v>2.19</v>
      </c>
      <c r="G241">
        <v>2.9</v>
      </c>
      <c r="H241">
        <v>1</v>
      </c>
      <c r="I241">
        <v>1</v>
      </c>
    </row>
    <row r="242" spans="1:9" x14ac:dyDescent="0.35">
      <c r="A242">
        <v>7</v>
      </c>
      <c r="B242" t="s">
        <v>101</v>
      </c>
      <c r="C242" t="s">
        <v>265</v>
      </c>
      <c r="D242">
        <v>9</v>
      </c>
      <c r="E242">
        <v>2.5</v>
      </c>
      <c r="F242">
        <v>2.78</v>
      </c>
      <c r="G242">
        <v>2.8</v>
      </c>
      <c r="H242">
        <v>-0.8</v>
      </c>
      <c r="I242">
        <v>2</v>
      </c>
    </row>
    <row r="243" spans="1:9" x14ac:dyDescent="0.35">
      <c r="A243">
        <v>7</v>
      </c>
      <c r="B243" t="s">
        <v>155</v>
      </c>
      <c r="C243" t="s">
        <v>278</v>
      </c>
      <c r="D243">
        <v>9</v>
      </c>
      <c r="E243">
        <v>2.1</v>
      </c>
      <c r="F243">
        <v>2.37</v>
      </c>
      <c r="G243">
        <v>2.5</v>
      </c>
      <c r="H243">
        <v>4.5</v>
      </c>
      <c r="I243">
        <v>5</v>
      </c>
    </row>
    <row r="244" spans="1:9" x14ac:dyDescent="0.35">
      <c r="A244">
        <v>2</v>
      </c>
      <c r="B244" t="s">
        <v>116</v>
      </c>
      <c r="C244" t="s">
        <v>278</v>
      </c>
      <c r="D244">
        <v>9</v>
      </c>
      <c r="E244">
        <v>2.5</v>
      </c>
      <c r="F244">
        <v>2.78</v>
      </c>
      <c r="G244">
        <v>1.1000000000000001</v>
      </c>
      <c r="H244">
        <v>4.2</v>
      </c>
      <c r="I244">
        <v>1</v>
      </c>
    </row>
    <row r="245" spans="1:9" x14ac:dyDescent="0.35">
      <c r="A245">
        <v>3</v>
      </c>
      <c r="B245" t="s">
        <v>52</v>
      </c>
      <c r="C245" t="s">
        <v>256</v>
      </c>
      <c r="D245">
        <v>9</v>
      </c>
      <c r="E245">
        <v>1.8</v>
      </c>
      <c r="F245">
        <v>2.04</v>
      </c>
      <c r="G245">
        <v>2.2000000000000002</v>
      </c>
      <c r="H245">
        <v>0</v>
      </c>
      <c r="I245">
        <v>1</v>
      </c>
    </row>
    <row r="246" spans="1:9" x14ac:dyDescent="0.35">
      <c r="A246">
        <v>6</v>
      </c>
      <c r="B246" t="s">
        <v>157</v>
      </c>
      <c r="C246" t="s">
        <v>282</v>
      </c>
      <c r="D246">
        <v>9</v>
      </c>
      <c r="E246">
        <v>2.1</v>
      </c>
      <c r="F246">
        <v>2.2999999999999998</v>
      </c>
      <c r="G246">
        <v>2.4</v>
      </c>
      <c r="H246">
        <v>4</v>
      </c>
      <c r="I246">
        <v>5</v>
      </c>
    </row>
    <row r="247" spans="1:9" x14ac:dyDescent="0.35">
      <c r="A247">
        <v>7</v>
      </c>
      <c r="B247" t="s">
        <v>54</v>
      </c>
      <c r="C247" t="s">
        <v>273</v>
      </c>
      <c r="D247">
        <v>9</v>
      </c>
      <c r="E247">
        <v>2.2999999999999998</v>
      </c>
      <c r="F247">
        <v>2.54</v>
      </c>
      <c r="G247">
        <v>1</v>
      </c>
      <c r="H247">
        <v>0</v>
      </c>
      <c r="I247">
        <v>2</v>
      </c>
    </row>
    <row r="248" spans="1:9" x14ac:dyDescent="0.35">
      <c r="A248">
        <v>3</v>
      </c>
      <c r="B248" t="s">
        <v>97</v>
      </c>
      <c r="C248" t="s">
        <v>282</v>
      </c>
      <c r="D248">
        <v>9</v>
      </c>
      <c r="E248">
        <v>1.7</v>
      </c>
      <c r="F248">
        <v>1.92</v>
      </c>
      <c r="G248">
        <v>1.7</v>
      </c>
      <c r="H248">
        <v>2.8</v>
      </c>
      <c r="I248">
        <v>1</v>
      </c>
    </row>
    <row r="249" spans="1:9" x14ac:dyDescent="0.35">
      <c r="A249">
        <v>7</v>
      </c>
      <c r="B249" t="s">
        <v>339</v>
      </c>
      <c r="C249" t="s">
        <v>268</v>
      </c>
      <c r="D249">
        <v>9</v>
      </c>
      <c r="E249">
        <v>1.8</v>
      </c>
      <c r="F249">
        <v>1.94</v>
      </c>
      <c r="G249">
        <v>1.3</v>
      </c>
      <c r="H249">
        <v>3.5</v>
      </c>
      <c r="I249">
        <v>5</v>
      </c>
    </row>
    <row r="250" spans="1:9" x14ac:dyDescent="0.35">
      <c r="A250">
        <v>7</v>
      </c>
      <c r="B250" t="s">
        <v>150</v>
      </c>
      <c r="C250" t="s">
        <v>294</v>
      </c>
      <c r="D250">
        <v>9</v>
      </c>
      <c r="E250">
        <v>2</v>
      </c>
      <c r="F250">
        <v>2.21</v>
      </c>
      <c r="G250">
        <v>1.8</v>
      </c>
      <c r="H250">
        <v>0</v>
      </c>
      <c r="I250">
        <v>5</v>
      </c>
    </row>
    <row r="251" spans="1:9" x14ac:dyDescent="0.35">
      <c r="A251">
        <v>3</v>
      </c>
      <c r="B251" t="s">
        <v>340</v>
      </c>
      <c r="C251" t="s">
        <v>268</v>
      </c>
      <c r="D251">
        <v>9</v>
      </c>
      <c r="E251">
        <v>1.9</v>
      </c>
      <c r="F251">
        <v>2.08</v>
      </c>
      <c r="G251">
        <v>2.1</v>
      </c>
      <c r="H251">
        <v>-0.8</v>
      </c>
      <c r="I251">
        <v>4</v>
      </c>
    </row>
    <row r="252" spans="1:9" x14ac:dyDescent="0.35">
      <c r="A252">
        <v>3</v>
      </c>
      <c r="B252" t="s">
        <v>149</v>
      </c>
      <c r="C252" t="s">
        <v>308</v>
      </c>
      <c r="D252">
        <v>9</v>
      </c>
      <c r="E252">
        <v>1.5</v>
      </c>
      <c r="F252">
        <v>1.65</v>
      </c>
      <c r="G252">
        <v>1.4</v>
      </c>
      <c r="H252">
        <v>-0.8</v>
      </c>
      <c r="I252">
        <v>1</v>
      </c>
    </row>
    <row r="253" spans="1:9" x14ac:dyDescent="0.35">
      <c r="A253">
        <v>3</v>
      </c>
      <c r="B253" t="s">
        <v>352</v>
      </c>
      <c r="C253" t="s">
        <v>291</v>
      </c>
      <c r="D253">
        <v>9</v>
      </c>
      <c r="E253">
        <v>1.3</v>
      </c>
      <c r="F253">
        <v>1.47</v>
      </c>
      <c r="G253">
        <v>1.3</v>
      </c>
      <c r="H253">
        <v>0.2</v>
      </c>
      <c r="I253">
        <v>1</v>
      </c>
    </row>
    <row r="254" spans="1:9" x14ac:dyDescent="0.35">
      <c r="A254">
        <v>4</v>
      </c>
      <c r="B254" t="s">
        <v>198</v>
      </c>
      <c r="C254" t="s">
        <v>266</v>
      </c>
      <c r="D254">
        <v>9</v>
      </c>
      <c r="E254">
        <v>1.4</v>
      </c>
      <c r="F254">
        <v>1.58</v>
      </c>
      <c r="G254">
        <v>1.3</v>
      </c>
      <c r="H254">
        <v>-2.2000000000000002</v>
      </c>
      <c r="I254">
        <v>2</v>
      </c>
    </row>
    <row r="255" spans="1:9" x14ac:dyDescent="0.35">
      <c r="A255">
        <v>7</v>
      </c>
      <c r="B255" t="s">
        <v>72</v>
      </c>
      <c r="C255" t="s">
        <v>257</v>
      </c>
      <c r="D255">
        <v>9</v>
      </c>
      <c r="E255">
        <v>2.2000000000000002</v>
      </c>
      <c r="F255">
        <v>2.42</v>
      </c>
      <c r="G255">
        <v>2.7</v>
      </c>
      <c r="H255">
        <v>7</v>
      </c>
      <c r="I255">
        <v>1</v>
      </c>
    </row>
    <row r="256" spans="1:9" x14ac:dyDescent="0.35">
      <c r="A256">
        <v>7</v>
      </c>
      <c r="B256" t="s">
        <v>342</v>
      </c>
      <c r="C256" t="s">
        <v>286</v>
      </c>
      <c r="D256">
        <v>9</v>
      </c>
      <c r="E256">
        <v>1.4</v>
      </c>
      <c r="F256">
        <v>1.51</v>
      </c>
      <c r="G256">
        <v>1.6</v>
      </c>
      <c r="H256">
        <v>0</v>
      </c>
      <c r="I256">
        <v>1</v>
      </c>
    </row>
    <row r="257" spans="1:9" x14ac:dyDescent="0.35">
      <c r="A257">
        <v>2</v>
      </c>
      <c r="B257" t="s">
        <v>210</v>
      </c>
      <c r="C257" t="s">
        <v>264</v>
      </c>
      <c r="D257">
        <v>9</v>
      </c>
      <c r="E257">
        <v>1.2</v>
      </c>
      <c r="F257">
        <v>1.39</v>
      </c>
      <c r="G257">
        <v>1.6</v>
      </c>
      <c r="H257">
        <v>0</v>
      </c>
      <c r="I257">
        <v>1</v>
      </c>
    </row>
    <row r="258" spans="1:9" x14ac:dyDescent="0.35">
      <c r="A258">
        <v>2</v>
      </c>
      <c r="B258" t="s">
        <v>367</v>
      </c>
      <c r="C258" t="s">
        <v>277</v>
      </c>
      <c r="D258">
        <v>9</v>
      </c>
      <c r="E258">
        <v>0.7</v>
      </c>
      <c r="F258">
        <v>0.81</v>
      </c>
      <c r="G258">
        <v>0.2</v>
      </c>
      <c r="H258">
        <v>0</v>
      </c>
      <c r="I258">
        <v>6</v>
      </c>
    </row>
    <row r="259" spans="1:9" x14ac:dyDescent="0.35">
      <c r="A259">
        <v>7</v>
      </c>
      <c r="B259" t="s">
        <v>381</v>
      </c>
      <c r="C259" t="s">
        <v>314</v>
      </c>
      <c r="D259">
        <v>9</v>
      </c>
      <c r="E259">
        <v>0.8</v>
      </c>
      <c r="F259">
        <v>0.83</v>
      </c>
      <c r="G259">
        <v>0.8</v>
      </c>
      <c r="H259">
        <v>2.2000000000000002</v>
      </c>
      <c r="I259">
        <v>1</v>
      </c>
    </row>
    <row r="260" spans="1:9" x14ac:dyDescent="0.35">
      <c r="A260">
        <v>5</v>
      </c>
      <c r="B260" t="s">
        <v>423</v>
      </c>
      <c r="C260" t="s">
        <v>270</v>
      </c>
      <c r="D260">
        <v>9</v>
      </c>
      <c r="E260">
        <v>0.3</v>
      </c>
      <c r="F260">
        <v>0.32</v>
      </c>
      <c r="G260">
        <v>0.4</v>
      </c>
      <c r="H260">
        <v>0</v>
      </c>
      <c r="I260">
        <v>4</v>
      </c>
    </row>
    <row r="261" spans="1:9" x14ac:dyDescent="0.35">
      <c r="A261">
        <v>3</v>
      </c>
      <c r="B261" t="s">
        <v>350</v>
      </c>
      <c r="C261" t="s">
        <v>314</v>
      </c>
      <c r="D261">
        <v>8</v>
      </c>
      <c r="E261">
        <v>2.2000000000000002</v>
      </c>
      <c r="F261">
        <v>2.78</v>
      </c>
      <c r="G261">
        <v>2.7</v>
      </c>
      <c r="H261">
        <v>0</v>
      </c>
      <c r="I261">
        <v>5</v>
      </c>
    </row>
    <row r="262" spans="1:9" x14ac:dyDescent="0.35">
      <c r="A262">
        <v>3</v>
      </c>
      <c r="B262" t="s">
        <v>145</v>
      </c>
      <c r="C262" t="s">
        <v>278</v>
      </c>
      <c r="D262">
        <v>8</v>
      </c>
      <c r="E262">
        <v>2.2000000000000002</v>
      </c>
      <c r="F262">
        <v>2.75</v>
      </c>
      <c r="G262">
        <v>2.2999999999999998</v>
      </c>
      <c r="H262">
        <v>4.5</v>
      </c>
      <c r="I262">
        <v>5</v>
      </c>
    </row>
    <row r="263" spans="1:9" x14ac:dyDescent="0.35">
      <c r="A263">
        <v>6</v>
      </c>
      <c r="B263" t="s">
        <v>125</v>
      </c>
      <c r="C263" t="s">
        <v>275</v>
      </c>
      <c r="D263">
        <v>8</v>
      </c>
      <c r="E263">
        <v>1.6</v>
      </c>
      <c r="F263">
        <v>2</v>
      </c>
      <c r="G263">
        <v>1.6</v>
      </c>
      <c r="H263">
        <v>1.8</v>
      </c>
      <c r="I263">
        <v>4</v>
      </c>
    </row>
    <row r="264" spans="1:9" x14ac:dyDescent="0.35">
      <c r="A264">
        <v>3</v>
      </c>
      <c r="B264" t="s">
        <v>358</v>
      </c>
      <c r="C264" t="s">
        <v>311</v>
      </c>
      <c r="D264">
        <v>8</v>
      </c>
      <c r="E264">
        <v>1.8</v>
      </c>
      <c r="F264">
        <v>2.2200000000000002</v>
      </c>
      <c r="G264">
        <v>2.1</v>
      </c>
      <c r="H264">
        <v>2.8</v>
      </c>
      <c r="I264">
        <v>1</v>
      </c>
    </row>
    <row r="265" spans="1:9" x14ac:dyDescent="0.35">
      <c r="A265">
        <v>2</v>
      </c>
      <c r="B265" t="s">
        <v>371</v>
      </c>
      <c r="C265" t="s">
        <v>314</v>
      </c>
      <c r="D265">
        <v>8</v>
      </c>
      <c r="E265">
        <v>1.8</v>
      </c>
      <c r="F265">
        <v>2.23</v>
      </c>
      <c r="G265">
        <v>2.2000000000000002</v>
      </c>
      <c r="H265">
        <v>1</v>
      </c>
      <c r="I265">
        <v>5</v>
      </c>
    </row>
    <row r="266" spans="1:9" x14ac:dyDescent="0.35">
      <c r="A266">
        <v>2</v>
      </c>
      <c r="B266" t="s">
        <v>76</v>
      </c>
      <c r="C266" t="s">
        <v>256</v>
      </c>
      <c r="D266">
        <v>8</v>
      </c>
      <c r="E266">
        <v>1.8</v>
      </c>
      <c r="F266">
        <v>2.25</v>
      </c>
      <c r="G266">
        <v>2.2999999999999998</v>
      </c>
      <c r="H266">
        <v>1</v>
      </c>
      <c r="I266">
        <v>1</v>
      </c>
    </row>
    <row r="267" spans="1:9" x14ac:dyDescent="0.35">
      <c r="A267">
        <v>7</v>
      </c>
      <c r="B267" t="s">
        <v>348</v>
      </c>
      <c r="C267" t="s">
        <v>291</v>
      </c>
      <c r="D267">
        <v>8</v>
      </c>
      <c r="E267">
        <v>1.2</v>
      </c>
      <c r="F267">
        <v>1.47</v>
      </c>
      <c r="G267">
        <v>0.9</v>
      </c>
      <c r="H267">
        <v>1</v>
      </c>
      <c r="I267">
        <v>3</v>
      </c>
    </row>
    <row r="268" spans="1:9" x14ac:dyDescent="0.35">
      <c r="A268">
        <v>6</v>
      </c>
      <c r="B268" t="s">
        <v>128</v>
      </c>
      <c r="C268" t="s">
        <v>278</v>
      </c>
      <c r="D268">
        <v>8</v>
      </c>
      <c r="E268">
        <v>2</v>
      </c>
      <c r="F268">
        <v>2.5299999999999998</v>
      </c>
      <c r="G268">
        <v>0.4</v>
      </c>
      <c r="H268">
        <v>0</v>
      </c>
      <c r="I268">
        <v>1</v>
      </c>
    </row>
    <row r="269" spans="1:9" x14ac:dyDescent="0.35">
      <c r="A269">
        <v>4</v>
      </c>
      <c r="B269" t="s">
        <v>140</v>
      </c>
      <c r="C269" t="s">
        <v>282</v>
      </c>
      <c r="D269">
        <v>8</v>
      </c>
      <c r="E269">
        <v>1.2</v>
      </c>
      <c r="F269">
        <v>1.47</v>
      </c>
      <c r="G269">
        <v>0.5</v>
      </c>
      <c r="H269">
        <v>6</v>
      </c>
      <c r="I269">
        <v>4</v>
      </c>
    </row>
    <row r="270" spans="1:9" x14ac:dyDescent="0.35">
      <c r="A270">
        <v>2</v>
      </c>
      <c r="B270" t="s">
        <v>151</v>
      </c>
      <c r="C270" t="s">
        <v>275</v>
      </c>
      <c r="D270">
        <v>8</v>
      </c>
      <c r="E270">
        <v>0.8</v>
      </c>
      <c r="F270">
        <v>1.01</v>
      </c>
      <c r="G270">
        <v>0.7</v>
      </c>
      <c r="H270">
        <v>0</v>
      </c>
      <c r="I270">
        <v>3</v>
      </c>
    </row>
    <row r="271" spans="1:9" x14ac:dyDescent="0.35">
      <c r="A271">
        <v>5</v>
      </c>
      <c r="B271" t="s">
        <v>88</v>
      </c>
      <c r="C271" t="s">
        <v>255</v>
      </c>
      <c r="D271">
        <v>7</v>
      </c>
      <c r="E271">
        <v>3</v>
      </c>
      <c r="F271">
        <v>4.29</v>
      </c>
      <c r="G271">
        <v>5</v>
      </c>
      <c r="H271">
        <v>18.2</v>
      </c>
      <c r="I271">
        <v>7</v>
      </c>
    </row>
    <row r="272" spans="1:9" x14ac:dyDescent="0.35">
      <c r="A272">
        <v>6</v>
      </c>
      <c r="B272" t="s">
        <v>61</v>
      </c>
      <c r="C272" t="s">
        <v>273</v>
      </c>
      <c r="D272">
        <v>7</v>
      </c>
      <c r="E272">
        <v>2.8</v>
      </c>
      <c r="F272">
        <v>4.05</v>
      </c>
      <c r="G272">
        <v>2.6</v>
      </c>
      <c r="H272">
        <v>1</v>
      </c>
      <c r="I272">
        <v>1</v>
      </c>
    </row>
    <row r="273" spans="1:9" x14ac:dyDescent="0.35">
      <c r="A273">
        <v>4</v>
      </c>
      <c r="B273" t="s">
        <v>91</v>
      </c>
      <c r="C273" t="s">
        <v>282</v>
      </c>
      <c r="D273">
        <v>7</v>
      </c>
      <c r="E273">
        <v>2.2000000000000002</v>
      </c>
      <c r="F273">
        <v>3.17</v>
      </c>
      <c r="G273">
        <v>2.4</v>
      </c>
      <c r="H273">
        <v>8.5</v>
      </c>
      <c r="I273">
        <v>1</v>
      </c>
    </row>
    <row r="274" spans="1:9" x14ac:dyDescent="0.35">
      <c r="A274">
        <v>6</v>
      </c>
      <c r="B274" t="s">
        <v>144</v>
      </c>
      <c r="C274" t="s">
        <v>308</v>
      </c>
      <c r="D274">
        <v>7</v>
      </c>
      <c r="E274">
        <v>1.7</v>
      </c>
      <c r="F274">
        <v>2.39</v>
      </c>
      <c r="G274">
        <v>1.8</v>
      </c>
      <c r="H274">
        <v>1</v>
      </c>
      <c r="I274">
        <v>1</v>
      </c>
    </row>
    <row r="275" spans="1:9" x14ac:dyDescent="0.35">
      <c r="A275">
        <v>3</v>
      </c>
      <c r="B275" t="s">
        <v>239</v>
      </c>
      <c r="C275" t="s">
        <v>299</v>
      </c>
      <c r="D275">
        <v>7</v>
      </c>
      <c r="E275">
        <v>2.2000000000000002</v>
      </c>
      <c r="F275">
        <v>3.17</v>
      </c>
      <c r="G275">
        <v>2.5</v>
      </c>
      <c r="H275">
        <v>8.5</v>
      </c>
      <c r="I275">
        <v>7</v>
      </c>
    </row>
    <row r="276" spans="1:9" x14ac:dyDescent="0.35">
      <c r="A276">
        <v>2</v>
      </c>
      <c r="B276" t="s">
        <v>85</v>
      </c>
      <c r="C276" t="s">
        <v>273</v>
      </c>
      <c r="D276">
        <v>7</v>
      </c>
      <c r="E276">
        <v>2.7</v>
      </c>
      <c r="F276">
        <v>3.81</v>
      </c>
      <c r="G276">
        <v>2.8</v>
      </c>
      <c r="H276">
        <v>0</v>
      </c>
      <c r="I276">
        <v>1</v>
      </c>
    </row>
    <row r="277" spans="1:9" x14ac:dyDescent="0.35">
      <c r="A277">
        <v>6</v>
      </c>
      <c r="B277" t="s">
        <v>220</v>
      </c>
      <c r="C277" t="s">
        <v>266</v>
      </c>
      <c r="D277">
        <v>7</v>
      </c>
      <c r="E277">
        <v>1.4</v>
      </c>
      <c r="F277">
        <v>2.0099999999999998</v>
      </c>
      <c r="G277">
        <v>1.7</v>
      </c>
      <c r="H277">
        <v>-0.5</v>
      </c>
      <c r="I277">
        <v>1</v>
      </c>
    </row>
    <row r="278" spans="1:9" x14ac:dyDescent="0.35">
      <c r="A278">
        <v>6</v>
      </c>
      <c r="B278" t="s">
        <v>344</v>
      </c>
      <c r="C278" t="s">
        <v>311</v>
      </c>
      <c r="D278">
        <v>7</v>
      </c>
      <c r="E278">
        <v>2</v>
      </c>
      <c r="F278">
        <v>2.83</v>
      </c>
      <c r="G278">
        <v>1.7</v>
      </c>
      <c r="H278">
        <v>7.5</v>
      </c>
      <c r="I278">
        <v>1</v>
      </c>
    </row>
    <row r="279" spans="1:9" x14ac:dyDescent="0.35">
      <c r="A279">
        <v>3</v>
      </c>
      <c r="B279" t="s">
        <v>199</v>
      </c>
      <c r="C279" t="s">
        <v>279</v>
      </c>
      <c r="D279">
        <v>7</v>
      </c>
      <c r="E279">
        <v>1.8</v>
      </c>
      <c r="F279">
        <v>2.5</v>
      </c>
      <c r="G279">
        <v>0.4</v>
      </c>
      <c r="H279">
        <v>0</v>
      </c>
      <c r="I279">
        <v>1</v>
      </c>
    </row>
    <row r="280" spans="1:9" x14ac:dyDescent="0.35">
      <c r="A280">
        <v>4</v>
      </c>
      <c r="B280" t="s">
        <v>142</v>
      </c>
      <c r="C280" t="s">
        <v>258</v>
      </c>
      <c r="D280">
        <v>7</v>
      </c>
      <c r="E280">
        <v>1.9</v>
      </c>
      <c r="F280">
        <v>2.7</v>
      </c>
      <c r="G280">
        <v>1.8</v>
      </c>
      <c r="H280">
        <v>0</v>
      </c>
      <c r="I280">
        <v>3</v>
      </c>
    </row>
    <row r="281" spans="1:9" x14ac:dyDescent="0.35">
      <c r="A281">
        <v>6</v>
      </c>
      <c r="B281" t="s">
        <v>217</v>
      </c>
      <c r="C281" t="s">
        <v>272</v>
      </c>
      <c r="D281">
        <v>7</v>
      </c>
      <c r="E281">
        <v>2.1</v>
      </c>
      <c r="F281">
        <v>2.96</v>
      </c>
      <c r="G281">
        <v>2.1</v>
      </c>
      <c r="H281">
        <v>4.2</v>
      </c>
      <c r="I281">
        <v>1</v>
      </c>
    </row>
    <row r="282" spans="1:9" x14ac:dyDescent="0.35">
      <c r="A282">
        <v>5</v>
      </c>
      <c r="B282" t="s">
        <v>214</v>
      </c>
      <c r="C282" t="s">
        <v>264</v>
      </c>
      <c r="D282">
        <v>7</v>
      </c>
      <c r="E282">
        <v>1.6</v>
      </c>
      <c r="F282">
        <v>2.2999999999999998</v>
      </c>
      <c r="G282">
        <v>1.7</v>
      </c>
      <c r="H282">
        <v>-0.8</v>
      </c>
      <c r="I282">
        <v>3</v>
      </c>
    </row>
    <row r="283" spans="1:9" x14ac:dyDescent="0.35">
      <c r="A283">
        <v>2</v>
      </c>
      <c r="B283" t="s">
        <v>226</v>
      </c>
      <c r="C283" t="s">
        <v>272</v>
      </c>
      <c r="D283">
        <v>7</v>
      </c>
      <c r="E283">
        <v>2.1</v>
      </c>
      <c r="F283">
        <v>3.05</v>
      </c>
      <c r="G283">
        <v>3</v>
      </c>
      <c r="H283">
        <v>0</v>
      </c>
      <c r="I283">
        <v>2</v>
      </c>
    </row>
    <row r="284" spans="1:9" x14ac:dyDescent="0.35">
      <c r="A284">
        <v>7</v>
      </c>
      <c r="B284" t="s">
        <v>24</v>
      </c>
      <c r="C284" t="s">
        <v>257</v>
      </c>
      <c r="D284">
        <v>7</v>
      </c>
      <c r="E284">
        <v>1.7</v>
      </c>
      <c r="F284">
        <v>2.48</v>
      </c>
      <c r="G284">
        <v>1.6</v>
      </c>
      <c r="H284">
        <v>-0.8</v>
      </c>
      <c r="I284">
        <v>1</v>
      </c>
    </row>
    <row r="285" spans="1:9" x14ac:dyDescent="0.35">
      <c r="A285">
        <v>7</v>
      </c>
      <c r="B285" t="s">
        <v>346</v>
      </c>
      <c r="C285" t="s">
        <v>311</v>
      </c>
      <c r="D285">
        <v>7</v>
      </c>
      <c r="E285">
        <v>1.8</v>
      </c>
      <c r="F285">
        <v>2.62</v>
      </c>
      <c r="G285">
        <v>1.9</v>
      </c>
      <c r="H285">
        <v>12.2</v>
      </c>
      <c r="I285">
        <v>2</v>
      </c>
    </row>
    <row r="286" spans="1:9" x14ac:dyDescent="0.35">
      <c r="A286">
        <v>7</v>
      </c>
      <c r="B286" t="s">
        <v>130</v>
      </c>
      <c r="C286" t="s">
        <v>284</v>
      </c>
      <c r="D286">
        <v>7</v>
      </c>
      <c r="E286">
        <v>1.7</v>
      </c>
      <c r="F286">
        <v>2.4300000000000002</v>
      </c>
      <c r="G286">
        <v>1.4</v>
      </c>
      <c r="H286">
        <v>3</v>
      </c>
      <c r="I286">
        <v>1</v>
      </c>
    </row>
    <row r="287" spans="1:9" x14ac:dyDescent="0.35">
      <c r="A287">
        <v>5</v>
      </c>
      <c r="B287" t="s">
        <v>222</v>
      </c>
      <c r="C287" t="s">
        <v>261</v>
      </c>
      <c r="D287">
        <v>7</v>
      </c>
      <c r="E287">
        <v>1.4</v>
      </c>
      <c r="F287">
        <v>1.99</v>
      </c>
      <c r="G287">
        <v>1.9</v>
      </c>
      <c r="H287">
        <v>11</v>
      </c>
      <c r="I287">
        <v>1</v>
      </c>
    </row>
    <row r="288" spans="1:9" x14ac:dyDescent="0.35">
      <c r="A288">
        <v>4</v>
      </c>
      <c r="B288" t="s">
        <v>234</v>
      </c>
      <c r="C288" t="s">
        <v>272</v>
      </c>
      <c r="D288">
        <v>7</v>
      </c>
      <c r="E288">
        <v>1.4</v>
      </c>
      <c r="F288">
        <v>2.06</v>
      </c>
      <c r="G288">
        <v>1.4</v>
      </c>
      <c r="H288">
        <v>7</v>
      </c>
      <c r="I288">
        <v>5</v>
      </c>
    </row>
    <row r="289" spans="1:9" x14ac:dyDescent="0.35">
      <c r="A289">
        <v>2</v>
      </c>
      <c r="B289" t="s">
        <v>122</v>
      </c>
      <c r="C289" t="s">
        <v>284</v>
      </c>
      <c r="D289">
        <v>7</v>
      </c>
      <c r="E289">
        <v>2</v>
      </c>
      <c r="F289">
        <v>2.92</v>
      </c>
      <c r="G289">
        <v>0.4</v>
      </c>
      <c r="H289">
        <v>0</v>
      </c>
      <c r="I289">
        <v>5</v>
      </c>
    </row>
    <row r="290" spans="1:9" x14ac:dyDescent="0.35">
      <c r="A290">
        <v>6</v>
      </c>
      <c r="B290" t="s">
        <v>42</v>
      </c>
      <c r="C290" t="s">
        <v>255</v>
      </c>
      <c r="D290">
        <v>7</v>
      </c>
      <c r="E290">
        <v>1.2</v>
      </c>
      <c r="F290">
        <v>1.77</v>
      </c>
      <c r="G290">
        <v>1.4</v>
      </c>
      <c r="H290">
        <v>0</v>
      </c>
      <c r="I290">
        <v>1</v>
      </c>
    </row>
    <row r="291" spans="1:9" x14ac:dyDescent="0.35">
      <c r="A291">
        <v>6</v>
      </c>
      <c r="B291" t="s">
        <v>336</v>
      </c>
      <c r="C291" t="s">
        <v>304</v>
      </c>
      <c r="D291">
        <v>7</v>
      </c>
      <c r="E291">
        <v>1.3</v>
      </c>
      <c r="F291">
        <v>1.93</v>
      </c>
      <c r="G291">
        <v>1.9</v>
      </c>
      <c r="H291">
        <v>0</v>
      </c>
      <c r="I291">
        <v>5</v>
      </c>
    </row>
    <row r="292" spans="1:9" x14ac:dyDescent="0.35">
      <c r="A292">
        <v>2</v>
      </c>
      <c r="B292" t="s">
        <v>409</v>
      </c>
      <c r="C292" t="s">
        <v>311</v>
      </c>
      <c r="D292">
        <v>7</v>
      </c>
      <c r="E292">
        <v>7.8</v>
      </c>
      <c r="F292">
        <v>11.19</v>
      </c>
      <c r="G292">
        <v>7.8</v>
      </c>
      <c r="H292">
        <v>2.5</v>
      </c>
      <c r="I292">
        <v>1</v>
      </c>
    </row>
    <row r="293" spans="1:9" x14ac:dyDescent="0.35">
      <c r="A293">
        <v>7</v>
      </c>
      <c r="B293" t="s">
        <v>219</v>
      </c>
      <c r="C293" t="s">
        <v>261</v>
      </c>
      <c r="D293">
        <v>7</v>
      </c>
      <c r="E293">
        <v>2.6</v>
      </c>
      <c r="F293">
        <v>3.69</v>
      </c>
      <c r="G293">
        <v>3.1</v>
      </c>
      <c r="H293">
        <v>4.2</v>
      </c>
      <c r="I293">
        <v>1</v>
      </c>
    </row>
    <row r="294" spans="1:9" x14ac:dyDescent="0.35">
      <c r="A294">
        <v>4</v>
      </c>
      <c r="B294" t="s">
        <v>376</v>
      </c>
      <c r="C294" t="s">
        <v>314</v>
      </c>
      <c r="D294">
        <v>7</v>
      </c>
      <c r="E294">
        <v>1.6</v>
      </c>
      <c r="F294">
        <v>2.27</v>
      </c>
      <c r="G294">
        <v>1.9</v>
      </c>
      <c r="H294">
        <v>3</v>
      </c>
      <c r="I294">
        <v>6</v>
      </c>
    </row>
    <row r="295" spans="1:9" x14ac:dyDescent="0.35">
      <c r="A295">
        <v>2</v>
      </c>
      <c r="B295" t="s">
        <v>143</v>
      </c>
      <c r="C295" t="s">
        <v>265</v>
      </c>
      <c r="D295">
        <v>7</v>
      </c>
      <c r="E295">
        <v>2.8</v>
      </c>
      <c r="F295">
        <v>3.97</v>
      </c>
      <c r="G295">
        <v>3.1</v>
      </c>
      <c r="H295">
        <v>7.8</v>
      </c>
      <c r="I295">
        <v>1</v>
      </c>
    </row>
    <row r="296" spans="1:9" x14ac:dyDescent="0.35">
      <c r="A296">
        <v>4</v>
      </c>
      <c r="B296" t="s">
        <v>135</v>
      </c>
      <c r="C296" t="s">
        <v>258</v>
      </c>
      <c r="D296">
        <v>7</v>
      </c>
      <c r="E296">
        <v>1.5</v>
      </c>
      <c r="F296">
        <v>2.14</v>
      </c>
      <c r="G296">
        <v>0.5</v>
      </c>
      <c r="H296">
        <v>0.2</v>
      </c>
      <c r="I296">
        <v>1</v>
      </c>
    </row>
    <row r="297" spans="1:9" x14ac:dyDescent="0.35">
      <c r="A297">
        <v>3</v>
      </c>
      <c r="B297" t="s">
        <v>359</v>
      </c>
      <c r="C297" t="s">
        <v>291</v>
      </c>
      <c r="D297">
        <v>7</v>
      </c>
      <c r="E297">
        <v>1.3</v>
      </c>
      <c r="F297">
        <v>1.86</v>
      </c>
      <c r="G297">
        <v>1.5</v>
      </c>
      <c r="H297">
        <v>7</v>
      </c>
      <c r="I297">
        <v>5</v>
      </c>
    </row>
    <row r="298" spans="1:9" x14ac:dyDescent="0.35">
      <c r="A298">
        <v>7</v>
      </c>
      <c r="B298" t="s">
        <v>69</v>
      </c>
      <c r="C298" t="s">
        <v>271</v>
      </c>
      <c r="D298">
        <v>7</v>
      </c>
      <c r="E298">
        <v>1.2</v>
      </c>
      <c r="F298">
        <v>1.68</v>
      </c>
      <c r="G298">
        <v>0.7</v>
      </c>
      <c r="H298">
        <v>-0.8</v>
      </c>
      <c r="I298">
        <v>3</v>
      </c>
    </row>
    <row r="299" spans="1:9" x14ac:dyDescent="0.35">
      <c r="A299">
        <v>7</v>
      </c>
      <c r="B299" t="s">
        <v>77</v>
      </c>
      <c r="C299" t="s">
        <v>283</v>
      </c>
      <c r="D299">
        <v>7</v>
      </c>
      <c r="E299">
        <v>1.2</v>
      </c>
      <c r="F299">
        <v>1.79</v>
      </c>
      <c r="G299">
        <v>1.2</v>
      </c>
      <c r="H299">
        <v>0</v>
      </c>
      <c r="I299">
        <v>3</v>
      </c>
    </row>
    <row r="300" spans="1:9" x14ac:dyDescent="0.35">
      <c r="A300">
        <v>2</v>
      </c>
      <c r="B300" t="s">
        <v>55</v>
      </c>
      <c r="C300" t="s">
        <v>283</v>
      </c>
      <c r="D300">
        <v>7</v>
      </c>
      <c r="E300">
        <v>1.2</v>
      </c>
      <c r="F300">
        <v>1.67</v>
      </c>
      <c r="G300">
        <v>0.6</v>
      </c>
      <c r="H300">
        <v>1.5</v>
      </c>
      <c r="I300">
        <v>2</v>
      </c>
    </row>
    <row r="301" spans="1:9" x14ac:dyDescent="0.35">
      <c r="A301">
        <v>2</v>
      </c>
      <c r="B301" t="s">
        <v>237</v>
      </c>
      <c r="C301" t="s">
        <v>272</v>
      </c>
      <c r="D301">
        <v>7</v>
      </c>
      <c r="E301">
        <v>1.1000000000000001</v>
      </c>
      <c r="F301">
        <v>1.58</v>
      </c>
      <c r="G301">
        <v>0.7</v>
      </c>
      <c r="H301">
        <v>-0.8</v>
      </c>
      <c r="I301">
        <v>1</v>
      </c>
    </row>
    <row r="302" spans="1:9" x14ac:dyDescent="0.35">
      <c r="A302">
        <v>4</v>
      </c>
      <c r="B302" t="s">
        <v>380</v>
      </c>
      <c r="C302" t="s">
        <v>314</v>
      </c>
      <c r="D302">
        <v>7</v>
      </c>
      <c r="E302">
        <v>1.1000000000000001</v>
      </c>
      <c r="F302">
        <v>1.58</v>
      </c>
      <c r="G302">
        <v>1.3</v>
      </c>
      <c r="H302">
        <v>0</v>
      </c>
      <c r="I302">
        <v>6</v>
      </c>
    </row>
    <row r="303" spans="1:9" x14ac:dyDescent="0.35">
      <c r="A303">
        <v>4</v>
      </c>
      <c r="B303" t="s">
        <v>365</v>
      </c>
      <c r="C303" t="s">
        <v>314</v>
      </c>
      <c r="D303">
        <v>7</v>
      </c>
      <c r="E303">
        <v>1.3</v>
      </c>
      <c r="F303">
        <v>1.84</v>
      </c>
      <c r="G303">
        <v>1.1000000000000001</v>
      </c>
      <c r="H303">
        <v>1.2</v>
      </c>
      <c r="I303">
        <v>8</v>
      </c>
    </row>
    <row r="304" spans="1:9" x14ac:dyDescent="0.35">
      <c r="A304">
        <v>2</v>
      </c>
      <c r="B304" t="s">
        <v>87</v>
      </c>
      <c r="C304" t="s">
        <v>257</v>
      </c>
      <c r="D304">
        <v>7</v>
      </c>
      <c r="E304">
        <v>1.2</v>
      </c>
      <c r="F304">
        <v>1.69</v>
      </c>
      <c r="G304">
        <v>1.3</v>
      </c>
      <c r="H304">
        <v>1</v>
      </c>
      <c r="I304">
        <v>1</v>
      </c>
    </row>
    <row r="305" spans="1:9" x14ac:dyDescent="0.35">
      <c r="A305">
        <v>7</v>
      </c>
      <c r="B305" t="s">
        <v>368</v>
      </c>
      <c r="C305" t="s">
        <v>304</v>
      </c>
      <c r="D305">
        <v>7</v>
      </c>
      <c r="E305">
        <v>1.6</v>
      </c>
      <c r="F305">
        <v>2.31</v>
      </c>
      <c r="G305">
        <v>1.8</v>
      </c>
      <c r="H305">
        <v>0</v>
      </c>
      <c r="I305">
        <v>1</v>
      </c>
    </row>
    <row r="306" spans="1:9" x14ac:dyDescent="0.35">
      <c r="A306">
        <v>4</v>
      </c>
      <c r="B306" t="s">
        <v>171</v>
      </c>
      <c r="C306" t="s">
        <v>256</v>
      </c>
      <c r="D306">
        <v>7</v>
      </c>
      <c r="E306">
        <v>1.1000000000000001</v>
      </c>
      <c r="F306">
        <v>1.59</v>
      </c>
      <c r="G306">
        <v>1.5</v>
      </c>
      <c r="H306">
        <v>0</v>
      </c>
      <c r="I306">
        <v>1</v>
      </c>
    </row>
    <row r="307" spans="1:9" x14ac:dyDescent="0.35">
      <c r="A307">
        <v>7</v>
      </c>
      <c r="B307" t="s">
        <v>415</v>
      </c>
      <c r="C307" t="s">
        <v>311</v>
      </c>
      <c r="D307">
        <v>7</v>
      </c>
      <c r="E307">
        <v>8.4</v>
      </c>
      <c r="F307">
        <v>11.96</v>
      </c>
      <c r="G307">
        <v>8.4</v>
      </c>
      <c r="H307">
        <v>6.8</v>
      </c>
      <c r="I307">
        <v>1</v>
      </c>
    </row>
    <row r="308" spans="1:9" x14ac:dyDescent="0.35">
      <c r="A308">
        <v>3</v>
      </c>
      <c r="B308" t="s">
        <v>50</v>
      </c>
      <c r="C308" t="s">
        <v>275</v>
      </c>
      <c r="D308">
        <v>7</v>
      </c>
      <c r="E308">
        <v>1.1000000000000001</v>
      </c>
      <c r="F308">
        <v>1.57</v>
      </c>
      <c r="G308">
        <v>0.9</v>
      </c>
      <c r="H308">
        <v>0</v>
      </c>
      <c r="I308">
        <v>1</v>
      </c>
    </row>
    <row r="309" spans="1:9" x14ac:dyDescent="0.35">
      <c r="A309">
        <v>7</v>
      </c>
      <c r="B309" t="s">
        <v>236</v>
      </c>
      <c r="C309" t="s">
        <v>272</v>
      </c>
      <c r="D309">
        <v>7</v>
      </c>
      <c r="E309">
        <v>1</v>
      </c>
      <c r="F309">
        <v>1.41</v>
      </c>
      <c r="G309">
        <v>0.1</v>
      </c>
      <c r="H309">
        <v>-0.8</v>
      </c>
      <c r="I309">
        <v>1</v>
      </c>
    </row>
    <row r="310" spans="1:9" x14ac:dyDescent="0.35">
      <c r="A310">
        <v>2</v>
      </c>
      <c r="B310" t="s">
        <v>168</v>
      </c>
      <c r="C310" t="s">
        <v>282</v>
      </c>
      <c r="D310">
        <v>7</v>
      </c>
      <c r="E310">
        <v>1.7</v>
      </c>
      <c r="F310">
        <v>2.4300000000000002</v>
      </c>
      <c r="G310">
        <v>2</v>
      </c>
      <c r="H310">
        <v>8.1999999999999993</v>
      </c>
      <c r="I310">
        <v>3</v>
      </c>
    </row>
    <row r="311" spans="1:9" x14ac:dyDescent="0.35">
      <c r="A311">
        <v>7</v>
      </c>
      <c r="B311" t="s">
        <v>362</v>
      </c>
      <c r="C311" t="s">
        <v>260</v>
      </c>
      <c r="D311">
        <v>7</v>
      </c>
      <c r="E311">
        <v>1.6</v>
      </c>
      <c r="F311">
        <v>2.3199999999999998</v>
      </c>
      <c r="G311">
        <v>2.1</v>
      </c>
      <c r="H311">
        <v>0</v>
      </c>
      <c r="I311">
        <v>3</v>
      </c>
    </row>
    <row r="312" spans="1:9" x14ac:dyDescent="0.35">
      <c r="A312">
        <v>7</v>
      </c>
      <c r="B312" t="s">
        <v>86</v>
      </c>
      <c r="C312" t="s">
        <v>265</v>
      </c>
      <c r="D312">
        <v>7</v>
      </c>
      <c r="E312">
        <v>0.8</v>
      </c>
      <c r="F312">
        <v>1.2</v>
      </c>
      <c r="G312">
        <v>0.9</v>
      </c>
      <c r="H312">
        <v>-0.8</v>
      </c>
      <c r="I312">
        <v>1</v>
      </c>
    </row>
    <row r="313" spans="1:9" x14ac:dyDescent="0.35">
      <c r="A313">
        <v>7</v>
      </c>
      <c r="B313" t="s">
        <v>227</v>
      </c>
      <c r="C313" t="s">
        <v>271</v>
      </c>
      <c r="D313">
        <v>7</v>
      </c>
      <c r="E313">
        <v>1.8</v>
      </c>
      <c r="F313">
        <v>2.58</v>
      </c>
      <c r="G313">
        <v>1.8</v>
      </c>
      <c r="H313">
        <v>0</v>
      </c>
      <c r="I313">
        <v>1</v>
      </c>
    </row>
    <row r="314" spans="1:9" x14ac:dyDescent="0.35">
      <c r="A314">
        <v>2</v>
      </c>
      <c r="B314" t="s">
        <v>93</v>
      </c>
      <c r="C314" t="s">
        <v>271</v>
      </c>
      <c r="D314">
        <v>7</v>
      </c>
      <c r="E314">
        <v>2</v>
      </c>
      <c r="F314">
        <v>2.86</v>
      </c>
      <c r="G314">
        <v>2.6</v>
      </c>
      <c r="H314">
        <v>7</v>
      </c>
      <c r="I314">
        <v>6</v>
      </c>
    </row>
    <row r="315" spans="1:9" x14ac:dyDescent="0.35">
      <c r="A315">
        <v>4</v>
      </c>
      <c r="B315" t="s">
        <v>412</v>
      </c>
      <c r="C315" t="s">
        <v>265</v>
      </c>
      <c r="D315">
        <v>7</v>
      </c>
      <c r="E315">
        <v>3.2</v>
      </c>
      <c r="F315">
        <v>4.57</v>
      </c>
      <c r="G315">
        <v>3.2</v>
      </c>
      <c r="H315">
        <v>-0.5</v>
      </c>
      <c r="I315">
        <v>3</v>
      </c>
    </row>
    <row r="316" spans="1:9" x14ac:dyDescent="0.35">
      <c r="A316">
        <v>7</v>
      </c>
      <c r="B316" t="s">
        <v>377</v>
      </c>
      <c r="C316" t="s">
        <v>311</v>
      </c>
      <c r="D316">
        <v>7</v>
      </c>
      <c r="E316">
        <v>1.4</v>
      </c>
      <c r="F316">
        <v>2.04</v>
      </c>
      <c r="G316">
        <v>2</v>
      </c>
      <c r="H316">
        <v>8.5</v>
      </c>
      <c r="I316">
        <v>5</v>
      </c>
    </row>
    <row r="317" spans="1:9" x14ac:dyDescent="0.35">
      <c r="A317">
        <v>5</v>
      </c>
      <c r="B317" t="s">
        <v>156</v>
      </c>
      <c r="C317" t="s">
        <v>284</v>
      </c>
      <c r="D317">
        <v>7</v>
      </c>
      <c r="E317">
        <v>1.2</v>
      </c>
      <c r="F317">
        <v>1.76</v>
      </c>
      <c r="G317">
        <v>1.2</v>
      </c>
      <c r="H317">
        <v>0</v>
      </c>
      <c r="I317">
        <v>1</v>
      </c>
    </row>
    <row r="318" spans="1:9" x14ac:dyDescent="0.35">
      <c r="A318">
        <v>7</v>
      </c>
      <c r="B318" t="s">
        <v>364</v>
      </c>
      <c r="C318" t="s">
        <v>304</v>
      </c>
      <c r="D318">
        <v>7</v>
      </c>
      <c r="E318">
        <v>0.8</v>
      </c>
      <c r="F318">
        <v>1.1499999999999999</v>
      </c>
      <c r="G318">
        <v>1.2</v>
      </c>
      <c r="H318">
        <v>0</v>
      </c>
      <c r="I318">
        <v>1</v>
      </c>
    </row>
    <row r="319" spans="1:9" x14ac:dyDescent="0.35">
      <c r="A319">
        <v>4</v>
      </c>
      <c r="B319" t="s">
        <v>152</v>
      </c>
      <c r="C319" t="s">
        <v>255</v>
      </c>
      <c r="D319">
        <v>7</v>
      </c>
      <c r="E319">
        <v>1.2</v>
      </c>
      <c r="F319">
        <v>1.65</v>
      </c>
      <c r="G319">
        <v>0.7</v>
      </c>
      <c r="H319">
        <v>3.5</v>
      </c>
      <c r="I319">
        <v>5</v>
      </c>
    </row>
    <row r="320" spans="1:9" x14ac:dyDescent="0.35">
      <c r="A320">
        <v>2</v>
      </c>
      <c r="B320" t="s">
        <v>238</v>
      </c>
      <c r="C320" t="s">
        <v>261</v>
      </c>
      <c r="D320">
        <v>7</v>
      </c>
      <c r="E320">
        <v>0.9</v>
      </c>
      <c r="F320">
        <v>1.24</v>
      </c>
      <c r="G320">
        <v>1.1000000000000001</v>
      </c>
      <c r="H320">
        <v>4.5</v>
      </c>
      <c r="I320">
        <v>1</v>
      </c>
    </row>
    <row r="321" spans="1:9" x14ac:dyDescent="0.35">
      <c r="A321">
        <v>3</v>
      </c>
      <c r="B321" t="s">
        <v>141</v>
      </c>
      <c r="C321" t="s">
        <v>275</v>
      </c>
      <c r="D321">
        <v>7</v>
      </c>
      <c r="E321">
        <v>1.2</v>
      </c>
      <c r="F321">
        <v>1.79</v>
      </c>
      <c r="G321">
        <v>0.7</v>
      </c>
      <c r="H321">
        <v>-1.5</v>
      </c>
      <c r="I321">
        <v>3</v>
      </c>
    </row>
    <row r="322" spans="1:9" x14ac:dyDescent="0.35">
      <c r="A322">
        <v>7</v>
      </c>
      <c r="B322" t="s">
        <v>78</v>
      </c>
      <c r="C322" t="s">
        <v>275</v>
      </c>
      <c r="D322">
        <v>7</v>
      </c>
      <c r="E322">
        <v>1.2</v>
      </c>
      <c r="F322">
        <v>1.7</v>
      </c>
      <c r="G322">
        <v>0.9</v>
      </c>
      <c r="H322">
        <v>2</v>
      </c>
      <c r="I322">
        <v>1</v>
      </c>
    </row>
    <row r="323" spans="1:9" x14ac:dyDescent="0.35">
      <c r="A323">
        <v>5</v>
      </c>
      <c r="B323" t="s">
        <v>235</v>
      </c>
      <c r="C323" t="s">
        <v>299</v>
      </c>
      <c r="D323">
        <v>7</v>
      </c>
      <c r="E323">
        <v>0.7</v>
      </c>
      <c r="F323">
        <v>1.03</v>
      </c>
      <c r="G323">
        <v>0.9</v>
      </c>
      <c r="H323">
        <v>0</v>
      </c>
      <c r="I323">
        <v>7</v>
      </c>
    </row>
    <row r="324" spans="1:9" x14ac:dyDescent="0.35">
      <c r="A324">
        <v>7</v>
      </c>
      <c r="B324" t="s">
        <v>414</v>
      </c>
      <c r="C324" t="s">
        <v>308</v>
      </c>
      <c r="D324">
        <v>7</v>
      </c>
      <c r="E324">
        <v>1.8</v>
      </c>
      <c r="F324">
        <v>2.6</v>
      </c>
      <c r="G324">
        <v>1.8</v>
      </c>
      <c r="H324">
        <v>0</v>
      </c>
      <c r="I324">
        <v>3</v>
      </c>
    </row>
    <row r="325" spans="1:9" x14ac:dyDescent="0.35">
      <c r="A325">
        <v>6</v>
      </c>
      <c r="B325" t="s">
        <v>379</v>
      </c>
      <c r="C325" t="s">
        <v>270</v>
      </c>
      <c r="D325">
        <v>7</v>
      </c>
      <c r="E325">
        <v>0.6</v>
      </c>
      <c r="F325">
        <v>0.88</v>
      </c>
      <c r="G325">
        <v>1.1000000000000001</v>
      </c>
      <c r="H325">
        <v>1</v>
      </c>
      <c r="I325">
        <v>6</v>
      </c>
    </row>
    <row r="326" spans="1:9" x14ac:dyDescent="0.35">
      <c r="A326">
        <v>2</v>
      </c>
      <c r="B326" t="s">
        <v>233</v>
      </c>
      <c r="C326" t="s">
        <v>264</v>
      </c>
      <c r="D326">
        <v>7</v>
      </c>
      <c r="E326">
        <v>1.2</v>
      </c>
      <c r="F326">
        <v>1.75</v>
      </c>
      <c r="G326">
        <v>1.1000000000000001</v>
      </c>
      <c r="H326">
        <v>0.8</v>
      </c>
      <c r="I326">
        <v>2</v>
      </c>
    </row>
    <row r="327" spans="1:9" x14ac:dyDescent="0.35">
      <c r="A327">
        <v>6</v>
      </c>
      <c r="B327" t="s">
        <v>363</v>
      </c>
      <c r="C327" t="s">
        <v>291</v>
      </c>
      <c r="D327">
        <v>7</v>
      </c>
      <c r="E327">
        <v>0.6</v>
      </c>
      <c r="F327">
        <v>0.82</v>
      </c>
      <c r="G327">
        <v>0.5</v>
      </c>
      <c r="H327">
        <v>0</v>
      </c>
      <c r="I327">
        <v>2</v>
      </c>
    </row>
    <row r="328" spans="1:9" x14ac:dyDescent="0.35">
      <c r="A328">
        <v>3</v>
      </c>
      <c r="B328" t="s">
        <v>99</v>
      </c>
      <c r="C328" t="s">
        <v>255</v>
      </c>
      <c r="D328">
        <v>7</v>
      </c>
      <c r="E328">
        <v>0.6</v>
      </c>
      <c r="F328">
        <v>0.86</v>
      </c>
      <c r="G328">
        <v>0</v>
      </c>
      <c r="H328">
        <v>0</v>
      </c>
      <c r="I328">
        <v>1</v>
      </c>
    </row>
    <row r="329" spans="1:9" x14ac:dyDescent="0.35">
      <c r="A329">
        <v>3</v>
      </c>
      <c r="B329" t="s">
        <v>176</v>
      </c>
      <c r="C329" t="s">
        <v>273</v>
      </c>
      <c r="D329">
        <v>7</v>
      </c>
      <c r="E329">
        <v>0.8</v>
      </c>
      <c r="F329">
        <v>1.2</v>
      </c>
      <c r="G329">
        <v>1.4</v>
      </c>
      <c r="H329">
        <v>0</v>
      </c>
      <c r="I329">
        <v>1</v>
      </c>
    </row>
    <row r="330" spans="1:9" x14ac:dyDescent="0.35">
      <c r="A330">
        <v>7</v>
      </c>
      <c r="B330" t="s">
        <v>66</v>
      </c>
      <c r="C330" t="s">
        <v>283</v>
      </c>
      <c r="D330">
        <v>7</v>
      </c>
      <c r="E330">
        <v>0.8</v>
      </c>
      <c r="F330">
        <v>1.21</v>
      </c>
      <c r="G330">
        <v>1</v>
      </c>
      <c r="H330">
        <v>3.2</v>
      </c>
      <c r="I330">
        <v>5</v>
      </c>
    </row>
    <row r="331" spans="1:9" x14ac:dyDescent="0.35">
      <c r="A331">
        <v>7</v>
      </c>
      <c r="B331" t="s">
        <v>81</v>
      </c>
      <c r="C331" t="s">
        <v>257</v>
      </c>
      <c r="D331">
        <v>7</v>
      </c>
      <c r="E331">
        <v>1</v>
      </c>
      <c r="F331">
        <v>1.46</v>
      </c>
      <c r="G331">
        <v>1.1000000000000001</v>
      </c>
      <c r="H331">
        <v>-0.8</v>
      </c>
      <c r="I331">
        <v>1</v>
      </c>
    </row>
    <row r="332" spans="1:9" x14ac:dyDescent="0.35">
      <c r="A332">
        <v>4</v>
      </c>
      <c r="B332" t="s">
        <v>230</v>
      </c>
      <c r="C332" t="s">
        <v>264</v>
      </c>
      <c r="D332">
        <v>7</v>
      </c>
      <c r="E332">
        <v>0.7</v>
      </c>
      <c r="F332">
        <v>0.94</v>
      </c>
      <c r="G332">
        <v>0.5</v>
      </c>
      <c r="H332">
        <v>0</v>
      </c>
      <c r="I332">
        <v>1</v>
      </c>
    </row>
    <row r="333" spans="1:9" x14ac:dyDescent="0.35">
      <c r="A333">
        <v>6</v>
      </c>
      <c r="B333" t="s">
        <v>240</v>
      </c>
      <c r="C333" t="s">
        <v>266</v>
      </c>
      <c r="D333">
        <v>7</v>
      </c>
      <c r="E333">
        <v>0.8</v>
      </c>
      <c r="F333">
        <v>1.07</v>
      </c>
      <c r="G333">
        <v>0.9</v>
      </c>
      <c r="H333">
        <v>-0.8</v>
      </c>
      <c r="I333">
        <v>3</v>
      </c>
    </row>
    <row r="334" spans="1:9" x14ac:dyDescent="0.35">
      <c r="A334">
        <v>3</v>
      </c>
      <c r="B334" t="s">
        <v>369</v>
      </c>
      <c r="C334" t="s">
        <v>268</v>
      </c>
      <c r="D334">
        <v>7</v>
      </c>
      <c r="E334">
        <v>0.7</v>
      </c>
      <c r="F334">
        <v>1.02</v>
      </c>
      <c r="G334">
        <v>0.2</v>
      </c>
      <c r="H334">
        <v>0.2</v>
      </c>
      <c r="I334">
        <v>2</v>
      </c>
    </row>
    <row r="335" spans="1:9" x14ac:dyDescent="0.35">
      <c r="A335">
        <v>4</v>
      </c>
      <c r="B335" t="s">
        <v>370</v>
      </c>
      <c r="C335" t="s">
        <v>268</v>
      </c>
      <c r="D335">
        <v>7</v>
      </c>
      <c r="E335">
        <v>1.3</v>
      </c>
      <c r="F335">
        <v>1.89</v>
      </c>
      <c r="G335">
        <v>0.4</v>
      </c>
      <c r="H335">
        <v>-0.8</v>
      </c>
      <c r="I335">
        <v>1</v>
      </c>
    </row>
    <row r="336" spans="1:9" x14ac:dyDescent="0.35">
      <c r="A336">
        <v>2</v>
      </c>
      <c r="B336" t="s">
        <v>159</v>
      </c>
      <c r="C336" t="s">
        <v>278</v>
      </c>
      <c r="D336">
        <v>7</v>
      </c>
      <c r="E336">
        <v>1</v>
      </c>
      <c r="F336">
        <v>1.43</v>
      </c>
      <c r="G336">
        <v>0.8</v>
      </c>
      <c r="H336">
        <v>1.5</v>
      </c>
      <c r="I336">
        <v>1</v>
      </c>
    </row>
    <row r="337" spans="1:9" x14ac:dyDescent="0.35">
      <c r="A337">
        <v>6</v>
      </c>
      <c r="B337" t="s">
        <v>386</v>
      </c>
      <c r="C337" t="s">
        <v>277</v>
      </c>
      <c r="D337">
        <v>7</v>
      </c>
      <c r="E337">
        <v>1.1000000000000001</v>
      </c>
      <c r="F337">
        <v>1.56</v>
      </c>
      <c r="G337">
        <v>1.2</v>
      </c>
      <c r="H337">
        <v>5</v>
      </c>
      <c r="I337">
        <v>1</v>
      </c>
    </row>
    <row r="338" spans="1:9" x14ac:dyDescent="0.35">
      <c r="A338">
        <v>2</v>
      </c>
      <c r="B338" t="s">
        <v>245</v>
      </c>
      <c r="C338" t="s">
        <v>299</v>
      </c>
      <c r="D338">
        <v>7</v>
      </c>
      <c r="E338">
        <v>1.1000000000000001</v>
      </c>
      <c r="F338">
        <v>1.61</v>
      </c>
      <c r="G338">
        <v>1.4</v>
      </c>
      <c r="H338">
        <v>1</v>
      </c>
      <c r="I338">
        <v>1</v>
      </c>
    </row>
    <row r="339" spans="1:9" x14ac:dyDescent="0.35">
      <c r="A339">
        <v>5</v>
      </c>
      <c r="B339" t="s">
        <v>390</v>
      </c>
      <c r="C339" t="s">
        <v>263</v>
      </c>
      <c r="D339">
        <v>7</v>
      </c>
      <c r="E339">
        <v>0.7</v>
      </c>
      <c r="F339">
        <v>1.02</v>
      </c>
      <c r="G339">
        <v>1.4</v>
      </c>
      <c r="H339">
        <v>0</v>
      </c>
      <c r="I339">
        <v>3</v>
      </c>
    </row>
    <row r="340" spans="1:9" x14ac:dyDescent="0.35">
      <c r="A340">
        <v>6</v>
      </c>
      <c r="B340" t="s">
        <v>231</v>
      </c>
      <c r="C340" t="s">
        <v>264</v>
      </c>
      <c r="D340">
        <v>7</v>
      </c>
      <c r="E340">
        <v>0.5</v>
      </c>
      <c r="F340">
        <v>0.73</v>
      </c>
      <c r="G340">
        <v>0.1</v>
      </c>
      <c r="H340">
        <v>0.2</v>
      </c>
      <c r="I340">
        <v>6</v>
      </c>
    </row>
    <row r="341" spans="1:9" x14ac:dyDescent="0.35">
      <c r="A341">
        <v>2</v>
      </c>
      <c r="B341" t="s">
        <v>383</v>
      </c>
      <c r="C341" t="s">
        <v>263</v>
      </c>
      <c r="D341">
        <v>7</v>
      </c>
      <c r="E341">
        <v>1.4</v>
      </c>
      <c r="F341">
        <v>2.02</v>
      </c>
      <c r="G341">
        <v>1.9</v>
      </c>
      <c r="H341">
        <v>7.8</v>
      </c>
      <c r="I341">
        <v>3</v>
      </c>
    </row>
    <row r="342" spans="1:9" x14ac:dyDescent="0.35">
      <c r="A342">
        <v>5</v>
      </c>
      <c r="B342" t="s">
        <v>366</v>
      </c>
      <c r="C342" t="s">
        <v>286</v>
      </c>
      <c r="D342">
        <v>7</v>
      </c>
      <c r="E342">
        <v>0.6</v>
      </c>
      <c r="F342">
        <v>0.84</v>
      </c>
      <c r="G342">
        <v>0.5</v>
      </c>
      <c r="H342">
        <v>0</v>
      </c>
      <c r="I342">
        <v>5</v>
      </c>
    </row>
    <row r="343" spans="1:9" x14ac:dyDescent="0.35">
      <c r="A343">
        <v>7</v>
      </c>
      <c r="B343" t="s">
        <v>375</v>
      </c>
      <c r="C343" t="s">
        <v>286</v>
      </c>
      <c r="D343">
        <v>7</v>
      </c>
      <c r="E343">
        <v>0.5</v>
      </c>
      <c r="F343">
        <v>0.69</v>
      </c>
      <c r="G343">
        <v>0.2</v>
      </c>
      <c r="H343">
        <v>1</v>
      </c>
      <c r="I343">
        <v>3</v>
      </c>
    </row>
    <row r="344" spans="1:9" x14ac:dyDescent="0.35">
      <c r="A344">
        <v>6</v>
      </c>
      <c r="B344" t="s">
        <v>242</v>
      </c>
      <c r="C344" t="s">
        <v>266</v>
      </c>
      <c r="D344">
        <v>7</v>
      </c>
      <c r="E344">
        <v>0.5</v>
      </c>
      <c r="F344">
        <v>0.69</v>
      </c>
      <c r="G344">
        <v>0.8</v>
      </c>
      <c r="H344">
        <v>2.5</v>
      </c>
      <c r="I344">
        <v>2</v>
      </c>
    </row>
    <row r="345" spans="1:9" x14ac:dyDescent="0.35">
      <c r="A345">
        <v>4</v>
      </c>
      <c r="B345" t="s">
        <v>247</v>
      </c>
      <c r="C345" t="s">
        <v>271</v>
      </c>
      <c r="D345">
        <v>7</v>
      </c>
      <c r="E345">
        <v>1.5</v>
      </c>
      <c r="F345">
        <v>2.14</v>
      </c>
      <c r="G345">
        <v>1.5</v>
      </c>
      <c r="H345">
        <v>-0.8</v>
      </c>
      <c r="I345">
        <v>1</v>
      </c>
    </row>
    <row r="346" spans="1:9" x14ac:dyDescent="0.35">
      <c r="A346">
        <v>6</v>
      </c>
      <c r="B346" t="s">
        <v>163</v>
      </c>
      <c r="C346" t="s">
        <v>283</v>
      </c>
      <c r="D346">
        <v>7</v>
      </c>
      <c r="E346">
        <v>0.8</v>
      </c>
      <c r="F346">
        <v>1.1399999999999999</v>
      </c>
      <c r="G346">
        <v>0.9</v>
      </c>
      <c r="H346">
        <v>8.5</v>
      </c>
      <c r="I346">
        <v>1</v>
      </c>
    </row>
    <row r="347" spans="1:9" x14ac:dyDescent="0.35">
      <c r="A347">
        <v>7</v>
      </c>
      <c r="B347" t="s">
        <v>169</v>
      </c>
      <c r="C347" t="s">
        <v>258</v>
      </c>
      <c r="D347">
        <v>7</v>
      </c>
      <c r="E347">
        <v>0.5</v>
      </c>
      <c r="F347">
        <v>0.74</v>
      </c>
      <c r="G347">
        <v>0.6</v>
      </c>
      <c r="H347">
        <v>0</v>
      </c>
      <c r="I347">
        <v>3</v>
      </c>
    </row>
    <row r="348" spans="1:9" x14ac:dyDescent="0.35">
      <c r="A348">
        <v>2</v>
      </c>
      <c r="B348" t="s">
        <v>229</v>
      </c>
      <c r="C348" t="s">
        <v>261</v>
      </c>
      <c r="D348">
        <v>7</v>
      </c>
      <c r="E348">
        <v>1.1000000000000001</v>
      </c>
      <c r="F348">
        <v>1.61</v>
      </c>
      <c r="G348">
        <v>-0.2</v>
      </c>
      <c r="H348">
        <v>-0.8</v>
      </c>
      <c r="I348">
        <v>2</v>
      </c>
    </row>
    <row r="349" spans="1:9" x14ac:dyDescent="0.35">
      <c r="A349">
        <v>6</v>
      </c>
      <c r="B349" t="s">
        <v>417</v>
      </c>
      <c r="C349" t="s">
        <v>258</v>
      </c>
      <c r="D349">
        <v>7</v>
      </c>
      <c r="E349">
        <v>0.9</v>
      </c>
      <c r="F349">
        <v>1.29</v>
      </c>
      <c r="G349">
        <v>0.1</v>
      </c>
      <c r="H349">
        <v>1</v>
      </c>
      <c r="I349">
        <v>2</v>
      </c>
    </row>
    <row r="350" spans="1:9" x14ac:dyDescent="0.35">
      <c r="A350">
        <v>5</v>
      </c>
      <c r="B350" t="s">
        <v>373</v>
      </c>
      <c r="C350" t="s">
        <v>291</v>
      </c>
      <c r="D350">
        <v>7</v>
      </c>
      <c r="E350">
        <v>0.7</v>
      </c>
      <c r="F350">
        <v>0.96</v>
      </c>
      <c r="G350">
        <v>-0.2</v>
      </c>
      <c r="H350">
        <v>-0.8</v>
      </c>
      <c r="I350">
        <v>3</v>
      </c>
    </row>
    <row r="351" spans="1:9" x14ac:dyDescent="0.35">
      <c r="A351">
        <v>7</v>
      </c>
      <c r="B351" t="s">
        <v>103</v>
      </c>
      <c r="C351" t="s">
        <v>256</v>
      </c>
      <c r="D351">
        <v>7</v>
      </c>
      <c r="E351">
        <v>0.6</v>
      </c>
      <c r="F351">
        <v>0.8</v>
      </c>
      <c r="G351">
        <v>-0.2</v>
      </c>
      <c r="H351">
        <v>0.2</v>
      </c>
      <c r="I351">
        <v>1</v>
      </c>
    </row>
    <row r="352" spans="1:9" x14ac:dyDescent="0.35">
      <c r="A352">
        <v>6</v>
      </c>
      <c r="B352" t="s">
        <v>419</v>
      </c>
      <c r="C352" t="s">
        <v>277</v>
      </c>
      <c r="D352">
        <v>7</v>
      </c>
      <c r="E352">
        <v>2.2999999999999998</v>
      </c>
      <c r="F352">
        <v>3.33</v>
      </c>
      <c r="G352">
        <v>2.2999999999999998</v>
      </c>
      <c r="H352">
        <v>3.5</v>
      </c>
      <c r="I352">
        <v>1</v>
      </c>
    </row>
    <row r="353" spans="1:9" x14ac:dyDescent="0.35">
      <c r="A353">
        <v>2</v>
      </c>
      <c r="B353" t="s">
        <v>378</v>
      </c>
      <c r="C353" t="s">
        <v>268</v>
      </c>
      <c r="D353">
        <v>7</v>
      </c>
      <c r="E353">
        <v>0.9</v>
      </c>
      <c r="F353">
        <v>1.33</v>
      </c>
      <c r="G353">
        <v>0.5</v>
      </c>
      <c r="H353">
        <v>-0.8</v>
      </c>
      <c r="I353">
        <v>1</v>
      </c>
    </row>
    <row r="354" spans="1:9" x14ac:dyDescent="0.35">
      <c r="A354">
        <v>4</v>
      </c>
      <c r="B354" t="s">
        <v>65</v>
      </c>
      <c r="C354" t="s">
        <v>265</v>
      </c>
      <c r="D354">
        <v>7</v>
      </c>
      <c r="E354">
        <v>0.4</v>
      </c>
      <c r="F354">
        <v>0.64</v>
      </c>
      <c r="G354">
        <v>0.8</v>
      </c>
      <c r="H354">
        <v>3</v>
      </c>
      <c r="I354">
        <v>1</v>
      </c>
    </row>
    <row r="355" spans="1:9" x14ac:dyDescent="0.35">
      <c r="A355">
        <v>2</v>
      </c>
      <c r="B355" t="s">
        <v>164</v>
      </c>
      <c r="C355" t="s">
        <v>308</v>
      </c>
      <c r="D355">
        <v>7</v>
      </c>
      <c r="E355">
        <v>1</v>
      </c>
      <c r="F355">
        <v>1.49</v>
      </c>
      <c r="G355">
        <v>1.1000000000000001</v>
      </c>
      <c r="H355">
        <v>0</v>
      </c>
      <c r="I355">
        <v>3</v>
      </c>
    </row>
    <row r="356" spans="1:9" x14ac:dyDescent="0.35">
      <c r="A356">
        <v>4</v>
      </c>
      <c r="B356" t="s">
        <v>71</v>
      </c>
      <c r="C356" t="s">
        <v>275</v>
      </c>
      <c r="D356">
        <v>7</v>
      </c>
      <c r="E356">
        <v>0.6</v>
      </c>
      <c r="F356">
        <v>0.87</v>
      </c>
      <c r="G356">
        <v>0.1</v>
      </c>
      <c r="H356">
        <v>0</v>
      </c>
      <c r="I356">
        <v>4</v>
      </c>
    </row>
    <row r="357" spans="1:9" x14ac:dyDescent="0.35">
      <c r="A357">
        <v>3</v>
      </c>
      <c r="B357" t="s">
        <v>165</v>
      </c>
      <c r="C357" t="s">
        <v>308</v>
      </c>
      <c r="D357">
        <v>7</v>
      </c>
      <c r="E357">
        <v>0.3</v>
      </c>
      <c r="F357">
        <v>0.43</v>
      </c>
      <c r="G357">
        <v>0.5</v>
      </c>
      <c r="H357">
        <v>1.2</v>
      </c>
      <c r="I357">
        <v>3</v>
      </c>
    </row>
    <row r="358" spans="1:9" x14ac:dyDescent="0.35">
      <c r="A358">
        <v>6</v>
      </c>
      <c r="B358" t="s">
        <v>174</v>
      </c>
      <c r="C358" t="s">
        <v>308</v>
      </c>
      <c r="D358">
        <v>7</v>
      </c>
      <c r="E358">
        <v>0.5</v>
      </c>
      <c r="F358">
        <v>0.71</v>
      </c>
      <c r="G358">
        <v>0.3</v>
      </c>
      <c r="H358">
        <v>-0.8</v>
      </c>
      <c r="I358">
        <v>1</v>
      </c>
    </row>
    <row r="359" spans="1:9" x14ac:dyDescent="0.35">
      <c r="A359">
        <v>7</v>
      </c>
      <c r="B359" t="s">
        <v>430</v>
      </c>
      <c r="C359" t="s">
        <v>266</v>
      </c>
      <c r="D359">
        <v>7</v>
      </c>
      <c r="E359">
        <v>1</v>
      </c>
      <c r="F359">
        <v>1.49</v>
      </c>
      <c r="G359">
        <v>2.6</v>
      </c>
      <c r="H359">
        <v>7.8</v>
      </c>
      <c r="I359">
        <v>1</v>
      </c>
    </row>
    <row r="360" spans="1:9" x14ac:dyDescent="0.35">
      <c r="A360">
        <v>2</v>
      </c>
      <c r="B360" t="s">
        <v>102</v>
      </c>
      <c r="C360" t="s">
        <v>257</v>
      </c>
      <c r="D360">
        <v>7</v>
      </c>
      <c r="E360">
        <v>0.8</v>
      </c>
      <c r="F360">
        <v>1.07</v>
      </c>
      <c r="G360">
        <v>0.6</v>
      </c>
      <c r="H360">
        <v>0</v>
      </c>
      <c r="I360">
        <v>1</v>
      </c>
    </row>
    <row r="361" spans="1:9" x14ac:dyDescent="0.35">
      <c r="A361">
        <v>2</v>
      </c>
      <c r="B361" t="s">
        <v>384</v>
      </c>
      <c r="C361" t="s">
        <v>270</v>
      </c>
      <c r="D361">
        <v>7</v>
      </c>
      <c r="E361">
        <v>0.3</v>
      </c>
      <c r="F361">
        <v>0.5</v>
      </c>
      <c r="G361">
        <v>0.1</v>
      </c>
      <c r="H361">
        <v>-0.8</v>
      </c>
      <c r="I361">
        <v>1</v>
      </c>
    </row>
    <row r="362" spans="1:9" x14ac:dyDescent="0.35">
      <c r="A362">
        <v>7</v>
      </c>
      <c r="B362" t="s">
        <v>244</v>
      </c>
      <c r="C362" t="s">
        <v>264</v>
      </c>
      <c r="D362">
        <v>7</v>
      </c>
      <c r="E362">
        <v>0.2</v>
      </c>
      <c r="F362">
        <v>0.34</v>
      </c>
      <c r="G362">
        <v>0.3</v>
      </c>
      <c r="H362">
        <v>0.8</v>
      </c>
      <c r="I362">
        <v>15</v>
      </c>
    </row>
    <row r="363" spans="1:9" x14ac:dyDescent="0.35">
      <c r="A363">
        <v>7</v>
      </c>
      <c r="B363" t="s">
        <v>166</v>
      </c>
      <c r="C363" t="s">
        <v>256</v>
      </c>
      <c r="D363">
        <v>7</v>
      </c>
      <c r="E363">
        <v>0.4</v>
      </c>
      <c r="F363">
        <v>0.54</v>
      </c>
      <c r="G363">
        <v>0.5</v>
      </c>
      <c r="H363">
        <v>1</v>
      </c>
      <c r="I363">
        <v>5</v>
      </c>
    </row>
    <row r="364" spans="1:9" x14ac:dyDescent="0.35">
      <c r="A364">
        <v>6</v>
      </c>
      <c r="B364" t="s">
        <v>396</v>
      </c>
      <c r="C364" t="s">
        <v>311</v>
      </c>
      <c r="D364">
        <v>7</v>
      </c>
      <c r="E364">
        <v>0.4</v>
      </c>
      <c r="F364">
        <v>0.62</v>
      </c>
      <c r="G364">
        <v>0.5</v>
      </c>
      <c r="H364">
        <v>0.8</v>
      </c>
      <c r="I364">
        <v>1</v>
      </c>
    </row>
    <row r="365" spans="1:9" x14ac:dyDescent="0.35">
      <c r="A365">
        <v>7</v>
      </c>
      <c r="B365" t="s">
        <v>177</v>
      </c>
      <c r="C365" t="s">
        <v>278</v>
      </c>
      <c r="D365">
        <v>7</v>
      </c>
      <c r="E365">
        <v>0.2</v>
      </c>
      <c r="F365">
        <v>0.26</v>
      </c>
      <c r="G365">
        <v>0.8</v>
      </c>
      <c r="H365">
        <v>7.8</v>
      </c>
      <c r="I365">
        <v>2</v>
      </c>
    </row>
    <row r="366" spans="1:9" x14ac:dyDescent="0.35">
      <c r="A366">
        <v>3</v>
      </c>
      <c r="B366" t="s">
        <v>422</v>
      </c>
      <c r="C366" t="s">
        <v>261</v>
      </c>
      <c r="D366">
        <v>7</v>
      </c>
      <c r="E366">
        <v>2.1</v>
      </c>
      <c r="F366">
        <v>3.04</v>
      </c>
      <c r="G366">
        <v>2.1</v>
      </c>
      <c r="H366">
        <v>1.8</v>
      </c>
      <c r="I366">
        <v>3</v>
      </c>
    </row>
    <row r="367" spans="1:9" x14ac:dyDescent="0.35">
      <c r="A367">
        <v>3</v>
      </c>
      <c r="B367" t="s">
        <v>389</v>
      </c>
      <c r="C367" t="s">
        <v>314</v>
      </c>
      <c r="D367">
        <v>7</v>
      </c>
      <c r="E367">
        <v>0.2</v>
      </c>
      <c r="F367">
        <v>0.28000000000000003</v>
      </c>
      <c r="G367">
        <v>0.1</v>
      </c>
      <c r="H367">
        <v>-0.8</v>
      </c>
      <c r="I367">
        <v>3</v>
      </c>
    </row>
    <row r="368" spans="1:9" x14ac:dyDescent="0.35">
      <c r="A368">
        <v>2</v>
      </c>
      <c r="B368" t="s">
        <v>391</v>
      </c>
      <c r="C368" t="s">
        <v>291</v>
      </c>
      <c r="D368">
        <v>7</v>
      </c>
      <c r="E368">
        <v>0.4</v>
      </c>
      <c r="F368">
        <v>0.57999999999999996</v>
      </c>
      <c r="G368">
        <v>0.5</v>
      </c>
      <c r="H368">
        <v>0</v>
      </c>
      <c r="I368">
        <v>1</v>
      </c>
    </row>
    <row r="369" spans="1:9" x14ac:dyDescent="0.35">
      <c r="A369">
        <v>7</v>
      </c>
      <c r="B369" t="s">
        <v>80</v>
      </c>
      <c r="C369" t="s">
        <v>257</v>
      </c>
      <c r="D369">
        <v>7</v>
      </c>
      <c r="E369">
        <v>0.2</v>
      </c>
      <c r="F369">
        <v>0.36</v>
      </c>
      <c r="G369">
        <v>0.3</v>
      </c>
      <c r="H369">
        <v>-0.8</v>
      </c>
      <c r="I369">
        <v>2</v>
      </c>
    </row>
    <row r="370" spans="1:9" x14ac:dyDescent="0.35">
      <c r="A370">
        <v>6</v>
      </c>
      <c r="B370" t="s">
        <v>82</v>
      </c>
      <c r="C370" t="s">
        <v>273</v>
      </c>
      <c r="D370">
        <v>7</v>
      </c>
      <c r="E370">
        <v>0.3</v>
      </c>
      <c r="F370">
        <v>0.42</v>
      </c>
      <c r="G370">
        <v>0.3</v>
      </c>
      <c r="H370">
        <v>0</v>
      </c>
      <c r="I370">
        <v>2</v>
      </c>
    </row>
    <row r="371" spans="1:9" x14ac:dyDescent="0.35">
      <c r="A371">
        <v>3</v>
      </c>
      <c r="B371" t="s">
        <v>241</v>
      </c>
      <c r="C371" t="s">
        <v>299</v>
      </c>
      <c r="D371">
        <v>7</v>
      </c>
      <c r="E371">
        <v>0.2</v>
      </c>
      <c r="F371">
        <v>0.26</v>
      </c>
      <c r="G371">
        <v>-0.1</v>
      </c>
      <c r="H371">
        <v>-0.8</v>
      </c>
      <c r="I371">
        <v>8</v>
      </c>
    </row>
    <row r="372" spans="1:9" x14ac:dyDescent="0.35">
      <c r="A372">
        <v>7</v>
      </c>
      <c r="B372" t="s">
        <v>96</v>
      </c>
      <c r="C372" t="s">
        <v>294</v>
      </c>
      <c r="D372">
        <v>7</v>
      </c>
      <c r="E372">
        <v>0.3</v>
      </c>
      <c r="F372">
        <v>0.45</v>
      </c>
      <c r="G372">
        <v>0.3</v>
      </c>
      <c r="H372">
        <v>2.2000000000000002</v>
      </c>
      <c r="I372">
        <v>1</v>
      </c>
    </row>
    <row r="373" spans="1:9" x14ac:dyDescent="0.35">
      <c r="A373">
        <v>2</v>
      </c>
      <c r="B373" t="s">
        <v>225</v>
      </c>
      <c r="C373" t="s">
        <v>272</v>
      </c>
      <c r="D373">
        <v>7</v>
      </c>
      <c r="E373">
        <v>0.2</v>
      </c>
      <c r="F373">
        <v>0.25</v>
      </c>
      <c r="G373">
        <v>-1.1000000000000001</v>
      </c>
      <c r="H373">
        <v>-1.5</v>
      </c>
      <c r="I373">
        <v>7</v>
      </c>
    </row>
    <row r="374" spans="1:9" x14ac:dyDescent="0.35">
      <c r="A374">
        <v>2</v>
      </c>
      <c r="B374" t="s">
        <v>170</v>
      </c>
      <c r="C374" t="s">
        <v>258</v>
      </c>
      <c r="D374">
        <v>7</v>
      </c>
      <c r="E374">
        <v>0.5</v>
      </c>
      <c r="F374">
        <v>0.71</v>
      </c>
      <c r="G374">
        <v>0.9</v>
      </c>
      <c r="H374">
        <v>1</v>
      </c>
      <c r="I374">
        <v>2</v>
      </c>
    </row>
    <row r="375" spans="1:9" x14ac:dyDescent="0.35">
      <c r="A375">
        <v>2</v>
      </c>
      <c r="B375" t="s">
        <v>246</v>
      </c>
      <c r="C375" t="s">
        <v>264</v>
      </c>
      <c r="D375">
        <v>7</v>
      </c>
      <c r="E375">
        <v>0.3</v>
      </c>
      <c r="F375">
        <v>0.42</v>
      </c>
      <c r="G375">
        <v>0.6</v>
      </c>
      <c r="H375">
        <v>0</v>
      </c>
      <c r="I375">
        <v>1</v>
      </c>
    </row>
    <row r="376" spans="1:9" x14ac:dyDescent="0.35">
      <c r="A376">
        <v>4</v>
      </c>
      <c r="B376" t="s">
        <v>172</v>
      </c>
      <c r="C376" t="s">
        <v>308</v>
      </c>
      <c r="D376">
        <v>7</v>
      </c>
      <c r="E376">
        <v>0.2</v>
      </c>
      <c r="F376">
        <v>0.26</v>
      </c>
      <c r="G376">
        <v>0.3</v>
      </c>
      <c r="H376">
        <v>1.5</v>
      </c>
      <c r="I376">
        <v>4</v>
      </c>
    </row>
    <row r="377" spans="1:9" x14ac:dyDescent="0.35">
      <c r="A377">
        <v>2</v>
      </c>
      <c r="B377" t="s">
        <v>399</v>
      </c>
      <c r="C377" t="s">
        <v>304</v>
      </c>
      <c r="D377">
        <v>7</v>
      </c>
      <c r="E377">
        <v>0.4</v>
      </c>
      <c r="F377">
        <v>0.54</v>
      </c>
      <c r="G377">
        <v>0.6</v>
      </c>
      <c r="H377">
        <v>-0.8</v>
      </c>
      <c r="I377">
        <v>2</v>
      </c>
    </row>
    <row r="378" spans="1:9" x14ac:dyDescent="0.35">
      <c r="A378">
        <v>7</v>
      </c>
      <c r="B378" t="s">
        <v>162</v>
      </c>
      <c r="C378" t="s">
        <v>282</v>
      </c>
      <c r="D378">
        <v>7</v>
      </c>
      <c r="E378">
        <v>0.1</v>
      </c>
      <c r="F378">
        <v>0.19</v>
      </c>
      <c r="G378">
        <v>-0.2</v>
      </c>
      <c r="H378">
        <v>0</v>
      </c>
      <c r="I378">
        <v>3</v>
      </c>
    </row>
    <row r="379" spans="1:9" x14ac:dyDescent="0.35">
      <c r="A379">
        <v>7</v>
      </c>
      <c r="B379" t="s">
        <v>387</v>
      </c>
      <c r="C379" t="s">
        <v>270</v>
      </c>
      <c r="D379">
        <v>7</v>
      </c>
      <c r="E379">
        <v>0.2</v>
      </c>
      <c r="F379">
        <v>0.22</v>
      </c>
      <c r="G379">
        <v>0.2</v>
      </c>
      <c r="H379">
        <v>-1.5</v>
      </c>
      <c r="I379">
        <v>4</v>
      </c>
    </row>
    <row r="380" spans="1:9" x14ac:dyDescent="0.35">
      <c r="A380">
        <v>2</v>
      </c>
      <c r="B380" t="s">
        <v>424</v>
      </c>
      <c r="C380" t="s">
        <v>275</v>
      </c>
      <c r="D380">
        <v>7</v>
      </c>
      <c r="E380">
        <v>0.3</v>
      </c>
      <c r="F380">
        <v>0.48</v>
      </c>
      <c r="G380">
        <v>0.3</v>
      </c>
      <c r="H380">
        <v>1</v>
      </c>
      <c r="I380">
        <v>1</v>
      </c>
    </row>
    <row r="381" spans="1:9" x14ac:dyDescent="0.35">
      <c r="A381">
        <v>2</v>
      </c>
      <c r="B381" t="s">
        <v>243</v>
      </c>
      <c r="C381" t="s">
        <v>266</v>
      </c>
      <c r="D381">
        <v>7</v>
      </c>
      <c r="E381">
        <v>0.2</v>
      </c>
      <c r="F381">
        <v>0.24</v>
      </c>
      <c r="G381">
        <v>0.3</v>
      </c>
      <c r="H381">
        <v>0</v>
      </c>
      <c r="I381">
        <v>5</v>
      </c>
    </row>
    <row r="382" spans="1:9" x14ac:dyDescent="0.35">
      <c r="A382">
        <v>7</v>
      </c>
      <c r="B382" t="s">
        <v>432</v>
      </c>
      <c r="C382" t="s">
        <v>286</v>
      </c>
      <c r="D382">
        <v>7</v>
      </c>
      <c r="E382">
        <v>-0.4</v>
      </c>
      <c r="F382">
        <v>-0.54</v>
      </c>
      <c r="G382">
        <v>-0.4</v>
      </c>
      <c r="H382">
        <v>-1.5</v>
      </c>
      <c r="I382">
        <v>1</v>
      </c>
    </row>
    <row r="383" spans="1:9" x14ac:dyDescent="0.35">
      <c r="A383">
        <v>5</v>
      </c>
      <c r="B383" t="s">
        <v>392</v>
      </c>
      <c r="C383" t="s">
        <v>304</v>
      </c>
      <c r="D383">
        <v>7</v>
      </c>
      <c r="E383">
        <v>-0.2</v>
      </c>
      <c r="F383">
        <v>-0.27</v>
      </c>
      <c r="G383">
        <v>-0.2</v>
      </c>
      <c r="H383">
        <v>0</v>
      </c>
      <c r="I383">
        <v>1</v>
      </c>
    </row>
    <row r="384" spans="1:9" x14ac:dyDescent="0.35">
      <c r="A384">
        <v>4</v>
      </c>
      <c r="B384" t="s">
        <v>426</v>
      </c>
      <c r="C384" t="s">
        <v>284</v>
      </c>
      <c r="D384">
        <v>7</v>
      </c>
      <c r="E384">
        <v>0</v>
      </c>
      <c r="F384">
        <v>0</v>
      </c>
      <c r="G384">
        <v>0</v>
      </c>
      <c r="H384">
        <v>0</v>
      </c>
      <c r="I384">
        <v>10</v>
      </c>
    </row>
    <row r="385" spans="1:9" x14ac:dyDescent="0.35">
      <c r="A385">
        <v>7</v>
      </c>
      <c r="B385" t="s">
        <v>94</v>
      </c>
      <c r="C385" t="s">
        <v>282</v>
      </c>
      <c r="D385">
        <v>7</v>
      </c>
      <c r="E385">
        <v>0</v>
      </c>
      <c r="F385">
        <v>-0.03</v>
      </c>
      <c r="G385">
        <v>0.1</v>
      </c>
      <c r="H385">
        <v>-1.5</v>
      </c>
      <c r="I385">
        <v>0</v>
      </c>
    </row>
    <row r="386" spans="1:9" x14ac:dyDescent="0.35">
      <c r="A386">
        <v>4</v>
      </c>
      <c r="B386" t="s">
        <v>398</v>
      </c>
      <c r="C386" t="s">
        <v>263</v>
      </c>
      <c r="D386">
        <v>7</v>
      </c>
      <c r="E386">
        <v>-0.1</v>
      </c>
      <c r="F386">
        <v>-0.12</v>
      </c>
      <c r="G386">
        <v>0.1</v>
      </c>
      <c r="H386">
        <v>0</v>
      </c>
      <c r="I386">
        <v>4</v>
      </c>
    </row>
    <row r="387" spans="1:9" x14ac:dyDescent="0.35">
      <c r="A387">
        <v>4</v>
      </c>
      <c r="B387" t="s">
        <v>393</v>
      </c>
      <c r="C387" t="s">
        <v>291</v>
      </c>
      <c r="D387">
        <v>7</v>
      </c>
      <c r="E387">
        <v>-0.1</v>
      </c>
      <c r="F387">
        <v>-0.14000000000000001</v>
      </c>
      <c r="G387">
        <v>-0.1</v>
      </c>
      <c r="H387">
        <v>0.2</v>
      </c>
      <c r="I387">
        <v>1</v>
      </c>
    </row>
    <row r="388" spans="1:9" x14ac:dyDescent="0.35">
      <c r="A388">
        <v>7</v>
      </c>
      <c r="B388" t="s">
        <v>173</v>
      </c>
      <c r="C388" t="s">
        <v>278</v>
      </c>
      <c r="D388">
        <v>7</v>
      </c>
      <c r="E388">
        <v>-0.1</v>
      </c>
      <c r="F388">
        <v>-0.14000000000000001</v>
      </c>
      <c r="G388">
        <v>-0.1</v>
      </c>
      <c r="H388">
        <v>0</v>
      </c>
      <c r="I388">
        <v>0</v>
      </c>
    </row>
    <row r="389" spans="1:9" x14ac:dyDescent="0.35">
      <c r="A389">
        <v>7</v>
      </c>
      <c r="B389" t="s">
        <v>394</v>
      </c>
      <c r="C389" t="s">
        <v>260</v>
      </c>
      <c r="D389">
        <v>7</v>
      </c>
      <c r="E389">
        <v>0</v>
      </c>
      <c r="F389">
        <v>0.04</v>
      </c>
      <c r="G389">
        <v>0</v>
      </c>
      <c r="H389">
        <v>0</v>
      </c>
      <c r="I389">
        <v>1</v>
      </c>
    </row>
    <row r="390" spans="1:9" x14ac:dyDescent="0.35">
      <c r="A390">
        <v>5</v>
      </c>
      <c r="B390" t="s">
        <v>395</v>
      </c>
      <c r="C390" t="s">
        <v>268</v>
      </c>
      <c r="D390">
        <v>7</v>
      </c>
      <c r="E390">
        <v>-0.8</v>
      </c>
      <c r="F390">
        <v>-1.07</v>
      </c>
      <c r="G390">
        <v>-0.8</v>
      </c>
      <c r="H390">
        <v>-0.8</v>
      </c>
      <c r="I390">
        <v>1</v>
      </c>
    </row>
    <row r="391" spans="1:9" x14ac:dyDescent="0.35">
      <c r="A391">
        <v>2</v>
      </c>
      <c r="B391" t="s">
        <v>428</v>
      </c>
      <c r="C391" t="s">
        <v>270</v>
      </c>
      <c r="D391">
        <v>7</v>
      </c>
      <c r="E391">
        <v>-0.4</v>
      </c>
      <c r="F391">
        <v>-0.54</v>
      </c>
      <c r="G391">
        <v>-0.4</v>
      </c>
      <c r="H391">
        <v>-0.8</v>
      </c>
      <c r="I391">
        <v>1</v>
      </c>
    </row>
    <row r="392" spans="1:9" x14ac:dyDescent="0.35">
      <c r="A392">
        <v>2</v>
      </c>
      <c r="B392" t="s">
        <v>175</v>
      </c>
      <c r="C392" t="s">
        <v>273</v>
      </c>
      <c r="D392">
        <v>7</v>
      </c>
      <c r="E392">
        <v>-0.2</v>
      </c>
      <c r="F392">
        <v>-0.27</v>
      </c>
      <c r="G392">
        <v>-0.2</v>
      </c>
      <c r="H392">
        <v>-0.8</v>
      </c>
      <c r="I392">
        <v>21</v>
      </c>
    </row>
    <row r="393" spans="1:9" x14ac:dyDescent="0.35">
      <c r="A393">
        <v>6</v>
      </c>
      <c r="B393" t="s">
        <v>433</v>
      </c>
      <c r="C393" t="s">
        <v>286</v>
      </c>
      <c r="D393">
        <v>7</v>
      </c>
      <c r="E393">
        <v>-0.6</v>
      </c>
      <c r="F393">
        <v>-0.89</v>
      </c>
      <c r="G393">
        <v>-0.6</v>
      </c>
      <c r="H393">
        <v>-0.5</v>
      </c>
      <c r="I393">
        <v>3</v>
      </c>
    </row>
    <row r="394" spans="1:9" x14ac:dyDescent="0.35">
      <c r="A394">
        <v>7</v>
      </c>
      <c r="B394" t="s">
        <v>167</v>
      </c>
      <c r="C394" t="s">
        <v>284</v>
      </c>
      <c r="D394">
        <v>7</v>
      </c>
      <c r="E394">
        <v>-0.2</v>
      </c>
      <c r="F394">
        <v>-0.31</v>
      </c>
      <c r="G394">
        <v>-0.4</v>
      </c>
      <c r="H394">
        <v>0</v>
      </c>
      <c r="I394">
        <v>0</v>
      </c>
    </row>
    <row r="395" spans="1:9" x14ac:dyDescent="0.35">
      <c r="A395">
        <v>7</v>
      </c>
      <c r="B395" t="s">
        <v>431</v>
      </c>
      <c r="C395" t="s">
        <v>271</v>
      </c>
      <c r="D395">
        <v>7</v>
      </c>
      <c r="E395">
        <v>-1.5</v>
      </c>
      <c r="F395">
        <v>-2.14</v>
      </c>
      <c r="G395">
        <v>-1.5</v>
      </c>
      <c r="H395">
        <v>-1.5</v>
      </c>
      <c r="I395">
        <v>1</v>
      </c>
    </row>
    <row r="396" spans="1:9" x14ac:dyDescent="0.35">
      <c r="A396">
        <v>2</v>
      </c>
      <c r="B396" t="s">
        <v>248</v>
      </c>
      <c r="C396" t="s">
        <v>266</v>
      </c>
      <c r="D396">
        <v>7</v>
      </c>
      <c r="E396">
        <v>-0.3</v>
      </c>
      <c r="F396">
        <v>-0.48</v>
      </c>
      <c r="G396">
        <v>-0.4</v>
      </c>
      <c r="H396">
        <v>-0.8</v>
      </c>
      <c r="I396">
        <v>3</v>
      </c>
    </row>
    <row r="397" spans="1:9" x14ac:dyDescent="0.35">
      <c r="A397">
        <v>6</v>
      </c>
      <c r="B397" t="s">
        <v>400</v>
      </c>
      <c r="C397" t="s">
        <v>277</v>
      </c>
      <c r="D397">
        <v>7</v>
      </c>
      <c r="E397">
        <v>-0.4</v>
      </c>
      <c r="F397">
        <v>-0.59</v>
      </c>
      <c r="G397">
        <v>-0.5</v>
      </c>
      <c r="H397">
        <v>0</v>
      </c>
      <c r="I397">
        <v>1</v>
      </c>
    </row>
    <row r="398" spans="1:9" x14ac:dyDescent="0.35">
      <c r="A398">
        <v>2</v>
      </c>
      <c r="B398" t="s">
        <v>397</v>
      </c>
      <c r="C398" t="s">
        <v>314</v>
      </c>
      <c r="D398">
        <v>7</v>
      </c>
      <c r="E398">
        <v>-0.9</v>
      </c>
      <c r="F398">
        <v>-1.27</v>
      </c>
      <c r="G398">
        <v>-1.2</v>
      </c>
      <c r="H398">
        <v>-1.5</v>
      </c>
      <c r="I398">
        <v>3</v>
      </c>
    </row>
    <row r="399" spans="1:9" x14ac:dyDescent="0.35">
      <c r="A399">
        <v>4</v>
      </c>
      <c r="B399" t="s">
        <v>425</v>
      </c>
      <c r="C399" t="s">
        <v>266</v>
      </c>
      <c r="D399">
        <v>0</v>
      </c>
      <c r="E399">
        <v>-1.2</v>
      </c>
      <c r="F399">
        <v>0</v>
      </c>
      <c r="G399">
        <v>-1.2</v>
      </c>
      <c r="H399">
        <v>-1.2</v>
      </c>
      <c r="I399">
        <v>3</v>
      </c>
    </row>
    <row r="400" spans="1:9" x14ac:dyDescent="0.35">
      <c r="A400">
        <v>7</v>
      </c>
      <c r="B400" t="s">
        <v>427</v>
      </c>
      <c r="C400" t="s">
        <v>271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2</v>
      </c>
    </row>
    <row r="401" spans="1:9" x14ac:dyDescent="0.35">
      <c r="A401" t="s">
        <v>337</v>
      </c>
      <c r="B401" t="s">
        <v>458</v>
      </c>
      <c r="C401" t="s">
        <v>272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1</v>
      </c>
    </row>
    <row r="402" spans="1:9" x14ac:dyDescent="0.35">
      <c r="A402">
        <v>7</v>
      </c>
      <c r="B402" t="s">
        <v>429</v>
      </c>
      <c r="C402" t="s">
        <v>279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1</v>
      </c>
    </row>
  </sheetData>
  <sortState ref="A2:H462">
    <sortCondition descending="1" ref="D2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olver"/>
  <dimension ref="A1:AD200"/>
  <sheetViews>
    <sheetView workbookViewId="0">
      <selection activeCell="I3" sqref="I3"/>
    </sheetView>
  </sheetViews>
  <sheetFormatPr defaultRowHeight="14.5" x14ac:dyDescent="0.35"/>
  <cols>
    <col min="2" max="2" width="22.90625" bestFit="1" customWidth="1"/>
    <col min="17" max="17" width="21.81640625" bestFit="1" customWidth="1"/>
    <col min="18" max="18" width="9.90625" bestFit="1" customWidth="1"/>
  </cols>
  <sheetData>
    <row r="1" spans="1:30" ht="15" thickBot="1" x14ac:dyDescent="0.4">
      <c r="A1" t="s">
        <v>4</v>
      </c>
      <c r="B1" t="s">
        <v>5</v>
      </c>
      <c r="C1" t="s">
        <v>6</v>
      </c>
      <c r="D1" t="s">
        <v>0</v>
      </c>
      <c r="E1" t="s">
        <v>250</v>
      </c>
      <c r="F1" t="s">
        <v>251</v>
      </c>
      <c r="G1" t="s">
        <v>111</v>
      </c>
      <c r="H1" t="s">
        <v>253</v>
      </c>
      <c r="I1" t="s">
        <v>7</v>
      </c>
      <c r="J1" s="2" t="s">
        <v>337</v>
      </c>
      <c r="K1" s="2">
        <v>2</v>
      </c>
      <c r="L1" s="2">
        <v>3</v>
      </c>
      <c r="M1" s="2">
        <v>4</v>
      </c>
      <c r="N1" s="2">
        <v>5</v>
      </c>
      <c r="O1" s="2">
        <v>6</v>
      </c>
      <c r="P1" s="2">
        <v>7</v>
      </c>
      <c r="Q1" s="2" t="s">
        <v>110</v>
      </c>
      <c r="T1" s="4" t="s">
        <v>8</v>
      </c>
      <c r="U1" t="s">
        <v>402</v>
      </c>
      <c r="V1" s="7" t="s">
        <v>9</v>
      </c>
      <c r="W1" s="10" t="s">
        <v>104</v>
      </c>
      <c r="X1" s="10" t="s">
        <v>1</v>
      </c>
      <c r="Y1" s="10" t="s">
        <v>105</v>
      </c>
      <c r="Z1" s="10" t="s">
        <v>106</v>
      </c>
      <c r="AA1" s="10" t="s">
        <v>108</v>
      </c>
      <c r="AB1" s="10" t="s">
        <v>107</v>
      </c>
      <c r="AC1" s="10" t="s">
        <v>109</v>
      </c>
      <c r="AD1" s="10" t="s">
        <v>403</v>
      </c>
    </row>
    <row r="2" spans="1:30" ht="15" thickBot="1" x14ac:dyDescent="0.4">
      <c r="A2" t="s">
        <v>337</v>
      </c>
      <c r="B2" t="s">
        <v>434</v>
      </c>
      <c r="C2" t="s">
        <v>261</v>
      </c>
      <c r="D2">
        <v>51</v>
      </c>
      <c r="E2">
        <v>9.4</v>
      </c>
      <c r="F2">
        <v>1.84</v>
      </c>
      <c r="G2">
        <v>8.8000000000000007</v>
      </c>
      <c r="H2">
        <v>3.2</v>
      </c>
      <c r="I2" s="3">
        <v>0</v>
      </c>
      <c r="J2">
        <f>IFERROR(IF(SEARCH(J$1,$A2)=1,1,0),0)</f>
        <v>1</v>
      </c>
      <c r="K2">
        <f t="shared" ref="K2:P17" si="0">IFERROR(IF(SEARCH(K$1,$A2)=1,1,0),0)</f>
        <v>0</v>
      </c>
      <c r="L2">
        <f t="shared" si="0"/>
        <v>0</v>
      </c>
      <c r="M2">
        <f>IFERROR(IF(SEARCH(M$1,$A2)=1,1,0),0)</f>
        <v>0</v>
      </c>
      <c r="N2">
        <f t="shared" si="0"/>
        <v>0</v>
      </c>
      <c r="O2">
        <f t="shared" si="0"/>
        <v>0</v>
      </c>
      <c r="P2">
        <f t="shared" si="0"/>
        <v>0</v>
      </c>
      <c r="Q2" t="str">
        <f>B2&amp;" - $"&amp;D2</f>
        <v>Paxton, James - $51</v>
      </c>
      <c r="T2" s="5">
        <f>SUMPRODUCT($I$2:$I$200,$G$2:$G$200)</f>
        <v>66.400000000000006</v>
      </c>
      <c r="U2" s="6">
        <f>SUMPRODUCT($I$2:$I$200,$D$2:$D$200)</f>
        <v>200</v>
      </c>
      <c r="V2" s="8">
        <v>200</v>
      </c>
      <c r="W2" s="9">
        <f>SUMPRODUCT($I$2:$I$200,$J$2:$J$200)</f>
        <v>2</v>
      </c>
      <c r="X2" s="9">
        <f>SUMPRODUCT($I$2:$I$200,$K$2:$K$200)</f>
        <v>1</v>
      </c>
      <c r="Y2" s="9">
        <f>SUMPRODUCT($I$2:$I$200,$L$2:$L$200)</f>
        <v>1</v>
      </c>
      <c r="Z2" s="9">
        <f>SUMPRODUCT($I$2:$I$200,$M$2:$M$200)</f>
        <v>1</v>
      </c>
      <c r="AA2" s="9">
        <f>SUMPRODUCT($I$2:$I$200,$N$2:$N$200)</f>
        <v>1</v>
      </c>
      <c r="AB2" s="9">
        <f>SUMPRODUCT($I$2:$I$200,$O$2:$O$200)</f>
        <v>1</v>
      </c>
      <c r="AC2" s="9">
        <f>SUMPRODUCT($I$2:$I$200,$P$2:$P$200)</f>
        <v>3</v>
      </c>
      <c r="AD2" s="13">
        <f>SUM(W2:AC2)</f>
        <v>10</v>
      </c>
    </row>
    <row r="3" spans="1:30" x14ac:dyDescent="0.35">
      <c r="A3" t="s">
        <v>337</v>
      </c>
      <c r="B3" t="s">
        <v>439</v>
      </c>
      <c r="C3" t="s">
        <v>294</v>
      </c>
      <c r="D3">
        <v>50</v>
      </c>
      <c r="E3">
        <v>5.8</v>
      </c>
      <c r="F3">
        <v>1.1499999999999999</v>
      </c>
      <c r="G3">
        <v>4.2</v>
      </c>
      <c r="H3">
        <v>1.4</v>
      </c>
      <c r="I3" s="3">
        <v>0</v>
      </c>
      <c r="J3">
        <f t="shared" ref="J3:P34" si="1">IFERROR(IF(SEARCH(J$1,$A3)=1,1,0),0)</f>
        <v>1</v>
      </c>
      <c r="K3">
        <f t="shared" si="0"/>
        <v>0</v>
      </c>
      <c r="L3">
        <f t="shared" si="0"/>
        <v>0</v>
      </c>
      <c r="M3">
        <f t="shared" si="0"/>
        <v>0</v>
      </c>
      <c r="N3">
        <f t="shared" si="0"/>
        <v>0</v>
      </c>
      <c r="O3">
        <f t="shared" si="0"/>
        <v>0</v>
      </c>
      <c r="P3">
        <f t="shared" si="0"/>
        <v>0</v>
      </c>
      <c r="Q3" t="str">
        <f t="shared" ref="Q3:Q66" si="2">B3&amp;" - $"&amp;D3</f>
        <v>Lester, Jon - $50</v>
      </c>
    </row>
    <row r="4" spans="1:30" x14ac:dyDescent="0.35">
      <c r="A4" t="s">
        <v>337</v>
      </c>
      <c r="B4" t="s">
        <v>445</v>
      </c>
      <c r="C4" t="s">
        <v>286</v>
      </c>
      <c r="D4">
        <v>49</v>
      </c>
      <c r="E4">
        <v>4.9000000000000004</v>
      </c>
      <c r="F4">
        <v>1</v>
      </c>
      <c r="G4">
        <v>3.1</v>
      </c>
      <c r="H4">
        <v>-2.6</v>
      </c>
      <c r="I4" s="3">
        <v>1</v>
      </c>
      <c r="J4">
        <f t="shared" si="1"/>
        <v>1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  <c r="O4">
        <f t="shared" si="0"/>
        <v>0</v>
      </c>
      <c r="P4">
        <f t="shared" si="0"/>
        <v>0</v>
      </c>
      <c r="Q4" t="str">
        <f t="shared" si="2"/>
        <v>Cueto, Johnny - $49</v>
      </c>
    </row>
    <row r="5" spans="1:30" x14ac:dyDescent="0.35">
      <c r="A5" t="s">
        <v>337</v>
      </c>
      <c r="B5" t="s">
        <v>410</v>
      </c>
      <c r="C5" t="s">
        <v>264</v>
      </c>
      <c r="D5">
        <v>49</v>
      </c>
      <c r="E5">
        <v>4.5999999999999996</v>
      </c>
      <c r="F5">
        <v>0.95</v>
      </c>
      <c r="G5">
        <v>1.7</v>
      </c>
      <c r="H5">
        <v>-2.8</v>
      </c>
      <c r="I5" s="3">
        <v>0</v>
      </c>
      <c r="J5">
        <f t="shared" si="1"/>
        <v>1</v>
      </c>
      <c r="K5">
        <f t="shared" si="0"/>
        <v>0</v>
      </c>
      <c r="L5">
        <f t="shared" si="0"/>
        <v>0</v>
      </c>
      <c r="M5">
        <f t="shared" si="0"/>
        <v>0</v>
      </c>
      <c r="N5">
        <f t="shared" si="0"/>
        <v>0</v>
      </c>
      <c r="O5">
        <f t="shared" si="0"/>
        <v>0</v>
      </c>
      <c r="P5">
        <f t="shared" si="0"/>
        <v>0</v>
      </c>
      <c r="Q5" t="str">
        <f t="shared" si="2"/>
        <v>Teheran, Julio - $49</v>
      </c>
    </row>
    <row r="6" spans="1:30" x14ac:dyDescent="0.35">
      <c r="A6" t="s">
        <v>337</v>
      </c>
      <c r="B6" t="s">
        <v>411</v>
      </c>
      <c r="C6" t="s">
        <v>284</v>
      </c>
      <c r="D6">
        <v>48</v>
      </c>
      <c r="E6">
        <v>4.5</v>
      </c>
      <c r="F6">
        <v>0.93</v>
      </c>
      <c r="G6">
        <v>2.7</v>
      </c>
      <c r="H6">
        <v>7.3</v>
      </c>
      <c r="I6" s="3">
        <v>0</v>
      </c>
      <c r="J6">
        <f t="shared" si="1"/>
        <v>1</v>
      </c>
      <c r="K6">
        <f t="shared" si="0"/>
        <v>0</v>
      </c>
      <c r="L6">
        <f t="shared" si="0"/>
        <v>0</v>
      </c>
      <c r="M6">
        <f t="shared" si="0"/>
        <v>0</v>
      </c>
      <c r="N6">
        <f t="shared" si="0"/>
        <v>0</v>
      </c>
      <c r="O6">
        <f t="shared" si="0"/>
        <v>0</v>
      </c>
      <c r="P6">
        <f t="shared" si="0"/>
        <v>0</v>
      </c>
      <c r="Q6" t="str">
        <f t="shared" si="2"/>
        <v>Porcello, Rick - $48</v>
      </c>
    </row>
    <row r="7" spans="1:30" x14ac:dyDescent="0.35">
      <c r="A7" t="s">
        <v>337</v>
      </c>
      <c r="B7" t="s">
        <v>435</v>
      </c>
      <c r="C7" t="s">
        <v>304</v>
      </c>
      <c r="D7">
        <v>46</v>
      </c>
      <c r="E7">
        <v>8</v>
      </c>
      <c r="F7">
        <v>1.74</v>
      </c>
      <c r="G7">
        <v>6.8</v>
      </c>
      <c r="H7">
        <v>8.1999999999999993</v>
      </c>
      <c r="I7" s="3">
        <v>0</v>
      </c>
      <c r="J7">
        <f t="shared" si="1"/>
        <v>1</v>
      </c>
      <c r="K7">
        <f t="shared" si="0"/>
        <v>0</v>
      </c>
      <c r="L7">
        <f t="shared" si="0"/>
        <v>0</v>
      </c>
      <c r="M7">
        <f t="shared" si="0"/>
        <v>0</v>
      </c>
      <c r="N7">
        <f t="shared" si="0"/>
        <v>0</v>
      </c>
      <c r="O7">
        <f t="shared" si="0"/>
        <v>0</v>
      </c>
      <c r="P7">
        <f t="shared" si="0"/>
        <v>0</v>
      </c>
      <c r="Q7" t="str">
        <f t="shared" si="2"/>
        <v>Bundy, Dylan - $46</v>
      </c>
    </row>
    <row r="8" spans="1:30" x14ac:dyDescent="0.35">
      <c r="A8" t="s">
        <v>337</v>
      </c>
      <c r="B8" t="s">
        <v>442</v>
      </c>
      <c r="C8" t="s">
        <v>299</v>
      </c>
      <c r="D8">
        <v>46</v>
      </c>
      <c r="E8">
        <v>5.5</v>
      </c>
      <c r="F8">
        <v>1.19</v>
      </c>
      <c r="G8">
        <v>5</v>
      </c>
      <c r="H8">
        <v>2.6</v>
      </c>
      <c r="I8" s="3">
        <v>0</v>
      </c>
      <c r="J8">
        <f t="shared" si="1"/>
        <v>1</v>
      </c>
      <c r="K8">
        <f t="shared" si="0"/>
        <v>0</v>
      </c>
      <c r="L8">
        <f t="shared" si="0"/>
        <v>0</v>
      </c>
      <c r="M8">
        <f t="shared" si="0"/>
        <v>0</v>
      </c>
      <c r="N8">
        <f t="shared" si="0"/>
        <v>0</v>
      </c>
      <c r="O8">
        <f t="shared" si="0"/>
        <v>0</v>
      </c>
      <c r="P8">
        <f t="shared" si="0"/>
        <v>0</v>
      </c>
      <c r="Q8" t="str">
        <f t="shared" si="2"/>
        <v>Martinez, Carlos - $46</v>
      </c>
    </row>
    <row r="9" spans="1:30" x14ac:dyDescent="0.35">
      <c r="A9" t="s">
        <v>337</v>
      </c>
      <c r="B9" t="s">
        <v>443</v>
      </c>
      <c r="C9" t="s">
        <v>256</v>
      </c>
      <c r="D9">
        <v>46</v>
      </c>
      <c r="E9">
        <v>5.2</v>
      </c>
      <c r="F9">
        <v>1.1399999999999999</v>
      </c>
      <c r="G9">
        <v>5.6</v>
      </c>
      <c r="H9">
        <v>8.6</v>
      </c>
      <c r="I9" s="3">
        <v>0</v>
      </c>
      <c r="J9">
        <f t="shared" si="1"/>
        <v>1</v>
      </c>
      <c r="K9">
        <f t="shared" si="0"/>
        <v>0</v>
      </c>
      <c r="L9">
        <f t="shared" si="0"/>
        <v>0</v>
      </c>
      <c r="M9">
        <f t="shared" si="0"/>
        <v>0</v>
      </c>
      <c r="N9">
        <f t="shared" si="0"/>
        <v>0</v>
      </c>
      <c r="O9">
        <f t="shared" si="0"/>
        <v>0</v>
      </c>
      <c r="P9">
        <f t="shared" si="0"/>
        <v>0</v>
      </c>
      <c r="Q9" t="str">
        <f t="shared" si="2"/>
        <v>Hamels, Cole - $46</v>
      </c>
    </row>
    <row r="10" spans="1:30" x14ac:dyDescent="0.35">
      <c r="A10" t="s">
        <v>337</v>
      </c>
      <c r="B10" t="s">
        <v>436</v>
      </c>
      <c r="C10" t="s">
        <v>279</v>
      </c>
      <c r="D10">
        <v>44</v>
      </c>
      <c r="E10">
        <v>8</v>
      </c>
      <c r="F10">
        <v>1.82</v>
      </c>
      <c r="G10">
        <v>6.7</v>
      </c>
      <c r="H10">
        <v>11.3</v>
      </c>
      <c r="I10" s="3">
        <v>0</v>
      </c>
      <c r="J10">
        <f t="shared" si="1"/>
        <v>1</v>
      </c>
      <c r="K10">
        <f t="shared" si="0"/>
        <v>0</v>
      </c>
      <c r="L10">
        <f t="shared" si="0"/>
        <v>0</v>
      </c>
      <c r="M10">
        <f t="shared" si="0"/>
        <v>0</v>
      </c>
      <c r="N10">
        <f t="shared" si="0"/>
        <v>0</v>
      </c>
      <c r="O10">
        <f t="shared" si="0"/>
        <v>0</v>
      </c>
      <c r="P10">
        <f t="shared" si="0"/>
        <v>0</v>
      </c>
      <c r="Q10" t="str">
        <f t="shared" si="2"/>
        <v>McCullers, Lance - $44</v>
      </c>
    </row>
    <row r="11" spans="1:30" x14ac:dyDescent="0.35">
      <c r="A11" t="s">
        <v>337</v>
      </c>
      <c r="B11" t="s">
        <v>452</v>
      </c>
      <c r="C11" t="s">
        <v>282</v>
      </c>
      <c r="D11">
        <v>42</v>
      </c>
      <c r="E11">
        <v>2.7</v>
      </c>
      <c r="F11">
        <v>0.64</v>
      </c>
      <c r="G11">
        <v>2.6</v>
      </c>
      <c r="H11">
        <v>4.5999999999999996</v>
      </c>
      <c r="I11" s="3">
        <v>0</v>
      </c>
      <c r="J11">
        <f t="shared" si="1"/>
        <v>1</v>
      </c>
      <c r="K11">
        <f t="shared" si="0"/>
        <v>0</v>
      </c>
      <c r="L11">
        <f t="shared" si="0"/>
        <v>0</v>
      </c>
      <c r="M11">
        <f t="shared" si="0"/>
        <v>0</v>
      </c>
      <c r="N11">
        <f t="shared" si="0"/>
        <v>0</v>
      </c>
      <c r="O11">
        <f t="shared" si="0"/>
        <v>0</v>
      </c>
      <c r="P11">
        <f t="shared" si="0"/>
        <v>0</v>
      </c>
      <c r="Q11" t="str">
        <f t="shared" si="2"/>
        <v>Quintana, Jose - $42</v>
      </c>
    </row>
    <row r="12" spans="1:30" x14ac:dyDescent="0.35">
      <c r="A12" t="s">
        <v>337</v>
      </c>
      <c r="B12" t="s">
        <v>416</v>
      </c>
      <c r="C12" t="s">
        <v>268</v>
      </c>
      <c r="D12">
        <v>42</v>
      </c>
      <c r="E12">
        <v>3.3</v>
      </c>
      <c r="F12">
        <v>0.78</v>
      </c>
      <c r="G12">
        <v>2.5</v>
      </c>
      <c r="H12">
        <v>2.6</v>
      </c>
      <c r="I12" s="3">
        <v>0</v>
      </c>
      <c r="J12">
        <f t="shared" si="1"/>
        <v>1</v>
      </c>
      <c r="K12">
        <f t="shared" si="0"/>
        <v>0</v>
      </c>
      <c r="L12">
        <f t="shared" si="0"/>
        <v>0</v>
      </c>
      <c r="M12">
        <f t="shared" si="0"/>
        <v>0</v>
      </c>
      <c r="N12">
        <f t="shared" si="0"/>
        <v>0</v>
      </c>
      <c r="O12">
        <f t="shared" si="0"/>
        <v>0</v>
      </c>
      <c r="P12">
        <f t="shared" si="0"/>
        <v>0</v>
      </c>
      <c r="Q12" t="str">
        <f t="shared" si="2"/>
        <v>Velasquez, Vincent - $42</v>
      </c>
    </row>
    <row r="13" spans="1:30" x14ac:dyDescent="0.35">
      <c r="A13" t="s">
        <v>337</v>
      </c>
      <c r="B13" t="s">
        <v>438</v>
      </c>
      <c r="C13" t="s">
        <v>271</v>
      </c>
      <c r="D13">
        <v>41</v>
      </c>
      <c r="E13">
        <v>5.9</v>
      </c>
      <c r="F13">
        <v>1.44</v>
      </c>
      <c r="G13">
        <v>7.4</v>
      </c>
      <c r="H13">
        <v>8.3000000000000007</v>
      </c>
      <c r="I13" s="3">
        <v>0</v>
      </c>
      <c r="J13">
        <f t="shared" si="1"/>
        <v>1</v>
      </c>
      <c r="K13">
        <f t="shared" si="0"/>
        <v>0</v>
      </c>
      <c r="L13">
        <f t="shared" si="0"/>
        <v>0</v>
      </c>
      <c r="M13">
        <f t="shared" si="0"/>
        <v>0</v>
      </c>
      <c r="N13">
        <f t="shared" si="0"/>
        <v>0</v>
      </c>
      <c r="O13">
        <f t="shared" si="0"/>
        <v>0</v>
      </c>
      <c r="P13">
        <f t="shared" si="0"/>
        <v>0</v>
      </c>
      <c r="Q13" t="str">
        <f t="shared" si="2"/>
        <v>Manaea, Sean - $41</v>
      </c>
    </row>
    <row r="14" spans="1:30" x14ac:dyDescent="0.35">
      <c r="A14" t="s">
        <v>337</v>
      </c>
      <c r="B14" t="s">
        <v>449</v>
      </c>
      <c r="C14" t="s">
        <v>275</v>
      </c>
      <c r="D14">
        <v>36</v>
      </c>
      <c r="E14">
        <v>4</v>
      </c>
      <c r="F14">
        <v>1.1100000000000001</v>
      </c>
      <c r="G14">
        <v>7.1</v>
      </c>
      <c r="H14">
        <v>7.7</v>
      </c>
      <c r="I14" s="3">
        <v>0</v>
      </c>
      <c r="J14">
        <f t="shared" si="1"/>
        <v>1</v>
      </c>
      <c r="K14">
        <f t="shared" si="0"/>
        <v>0</v>
      </c>
      <c r="L14">
        <f t="shared" si="0"/>
        <v>0</v>
      </c>
      <c r="M14">
        <f t="shared" si="0"/>
        <v>0</v>
      </c>
      <c r="N14">
        <f t="shared" si="0"/>
        <v>0</v>
      </c>
      <c r="O14">
        <f t="shared" si="0"/>
        <v>0</v>
      </c>
      <c r="P14">
        <f t="shared" si="0"/>
        <v>0</v>
      </c>
      <c r="Q14" t="str">
        <f t="shared" si="2"/>
        <v>Shoemaker, Matt - $36</v>
      </c>
    </row>
    <row r="15" spans="1:30" x14ac:dyDescent="0.35">
      <c r="A15" t="s">
        <v>337</v>
      </c>
      <c r="B15" t="s">
        <v>437</v>
      </c>
      <c r="C15" t="s">
        <v>278</v>
      </c>
      <c r="D15">
        <v>35</v>
      </c>
      <c r="E15">
        <v>6.3</v>
      </c>
      <c r="F15">
        <v>1.79</v>
      </c>
      <c r="G15">
        <v>6.3</v>
      </c>
      <c r="H15">
        <v>7.2</v>
      </c>
      <c r="I15" s="3">
        <v>0</v>
      </c>
      <c r="J15">
        <f t="shared" si="1"/>
        <v>1</v>
      </c>
      <c r="K15">
        <f t="shared" si="0"/>
        <v>0</v>
      </c>
      <c r="L15">
        <f t="shared" si="0"/>
        <v>0</v>
      </c>
      <c r="M15">
        <f t="shared" si="0"/>
        <v>0</v>
      </c>
      <c r="N15">
        <f t="shared" si="0"/>
        <v>0</v>
      </c>
      <c r="O15">
        <f t="shared" si="0"/>
        <v>0</v>
      </c>
      <c r="P15">
        <f t="shared" si="0"/>
        <v>0</v>
      </c>
      <c r="Q15" t="str">
        <f t="shared" si="2"/>
        <v>Santiago, Hector - $35</v>
      </c>
    </row>
    <row r="16" spans="1:30" x14ac:dyDescent="0.35">
      <c r="A16" t="s">
        <v>337</v>
      </c>
      <c r="B16" t="s">
        <v>446</v>
      </c>
      <c r="C16" t="s">
        <v>283</v>
      </c>
      <c r="D16">
        <v>34</v>
      </c>
      <c r="E16">
        <v>4</v>
      </c>
      <c r="F16">
        <v>1.17</v>
      </c>
      <c r="G16">
        <v>1.3</v>
      </c>
      <c r="H16">
        <v>4</v>
      </c>
      <c r="I16" s="3">
        <v>0</v>
      </c>
      <c r="J16">
        <f t="shared" si="1"/>
        <v>1</v>
      </c>
      <c r="K16">
        <f t="shared" si="0"/>
        <v>0</v>
      </c>
      <c r="L16">
        <f t="shared" si="0"/>
        <v>0</v>
      </c>
      <c r="M16">
        <f t="shared" si="0"/>
        <v>0</v>
      </c>
      <c r="N16">
        <f t="shared" si="0"/>
        <v>0</v>
      </c>
      <c r="O16">
        <f t="shared" si="0"/>
        <v>0</v>
      </c>
      <c r="P16">
        <f t="shared" si="0"/>
        <v>0</v>
      </c>
      <c r="Q16" t="str">
        <f t="shared" si="2"/>
        <v>Cobb, Alex - $34</v>
      </c>
    </row>
    <row r="17" spans="1:17" x14ac:dyDescent="0.35">
      <c r="A17" t="s">
        <v>337</v>
      </c>
      <c r="B17" t="s">
        <v>441</v>
      </c>
      <c r="C17" t="s">
        <v>260</v>
      </c>
      <c r="D17">
        <v>33</v>
      </c>
      <c r="E17">
        <v>5.7</v>
      </c>
      <c r="F17">
        <v>1.71</v>
      </c>
      <c r="G17">
        <v>5.3</v>
      </c>
      <c r="H17">
        <v>4.8</v>
      </c>
      <c r="I17" s="3">
        <v>0</v>
      </c>
      <c r="J17">
        <f t="shared" si="1"/>
        <v>1</v>
      </c>
      <c r="K17">
        <f t="shared" si="0"/>
        <v>0</v>
      </c>
      <c r="L17">
        <f t="shared" si="0"/>
        <v>0</v>
      </c>
      <c r="M17">
        <f t="shared" si="0"/>
        <v>0</v>
      </c>
      <c r="N17">
        <f t="shared" si="0"/>
        <v>0</v>
      </c>
      <c r="O17">
        <f t="shared" si="0"/>
        <v>0</v>
      </c>
      <c r="P17">
        <f t="shared" si="0"/>
        <v>0</v>
      </c>
      <c r="Q17" t="str">
        <f t="shared" si="2"/>
        <v>Roark, Tanner - $33</v>
      </c>
    </row>
    <row r="18" spans="1:17" x14ac:dyDescent="0.35">
      <c r="A18" t="s">
        <v>337</v>
      </c>
      <c r="B18" t="s">
        <v>374</v>
      </c>
      <c r="C18" t="s">
        <v>258</v>
      </c>
      <c r="D18">
        <v>33</v>
      </c>
      <c r="E18">
        <v>4.9000000000000004</v>
      </c>
      <c r="F18">
        <v>1.48</v>
      </c>
      <c r="G18">
        <v>3.5</v>
      </c>
      <c r="H18">
        <v>8.4</v>
      </c>
      <c r="I18" s="3">
        <v>0</v>
      </c>
      <c r="J18">
        <f t="shared" si="1"/>
        <v>1</v>
      </c>
      <c r="K18">
        <f t="shared" si="1"/>
        <v>0</v>
      </c>
      <c r="L18">
        <f t="shared" si="1"/>
        <v>0</v>
      </c>
      <c r="M18">
        <f t="shared" si="1"/>
        <v>0</v>
      </c>
      <c r="N18">
        <f t="shared" si="1"/>
        <v>0</v>
      </c>
      <c r="O18">
        <f t="shared" si="1"/>
        <v>0</v>
      </c>
      <c r="P18">
        <f t="shared" si="1"/>
        <v>0</v>
      </c>
      <c r="Q18" t="str">
        <f t="shared" si="2"/>
        <v>Chen, Wei-Yin - $33</v>
      </c>
    </row>
    <row r="19" spans="1:17" x14ac:dyDescent="0.35">
      <c r="A19" t="s">
        <v>337</v>
      </c>
      <c r="B19" t="s">
        <v>448</v>
      </c>
      <c r="C19" t="s">
        <v>265</v>
      </c>
      <c r="D19">
        <v>32</v>
      </c>
      <c r="E19">
        <v>3.9</v>
      </c>
      <c r="F19">
        <v>1.22</v>
      </c>
      <c r="G19">
        <v>5</v>
      </c>
      <c r="H19">
        <v>3.4</v>
      </c>
      <c r="I19" s="3">
        <v>0</v>
      </c>
      <c r="J19">
        <f t="shared" si="1"/>
        <v>1</v>
      </c>
      <c r="K19">
        <f t="shared" si="1"/>
        <v>0</v>
      </c>
      <c r="L19">
        <f t="shared" si="1"/>
        <v>0</v>
      </c>
      <c r="M19">
        <f t="shared" si="1"/>
        <v>0</v>
      </c>
      <c r="N19">
        <f t="shared" si="1"/>
        <v>0</v>
      </c>
      <c r="O19">
        <f t="shared" si="1"/>
        <v>0</v>
      </c>
      <c r="P19">
        <f t="shared" si="1"/>
        <v>0</v>
      </c>
      <c r="Q19" t="str">
        <f t="shared" si="2"/>
        <v>Wood, Alex - $32</v>
      </c>
    </row>
    <row r="20" spans="1:17" x14ac:dyDescent="0.35">
      <c r="A20" t="s">
        <v>337</v>
      </c>
      <c r="B20" t="s">
        <v>450</v>
      </c>
      <c r="C20" t="s">
        <v>257</v>
      </c>
      <c r="D20">
        <v>32</v>
      </c>
      <c r="E20">
        <v>4.8</v>
      </c>
      <c r="F20">
        <v>1.52</v>
      </c>
      <c r="G20">
        <v>5</v>
      </c>
      <c r="H20">
        <v>9.1</v>
      </c>
      <c r="I20" s="3">
        <v>0</v>
      </c>
      <c r="J20">
        <f t="shared" si="1"/>
        <v>1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 t="str">
        <f t="shared" si="2"/>
        <v>Bauer, Trevor - $32</v>
      </c>
    </row>
    <row r="21" spans="1:17" x14ac:dyDescent="0.35">
      <c r="A21" t="s">
        <v>337</v>
      </c>
      <c r="B21" t="s">
        <v>444</v>
      </c>
      <c r="C21" t="s">
        <v>266</v>
      </c>
      <c r="D21">
        <v>31</v>
      </c>
      <c r="E21">
        <v>7</v>
      </c>
      <c r="F21">
        <v>2.25</v>
      </c>
      <c r="G21">
        <v>7.7</v>
      </c>
      <c r="H21">
        <v>10.199999999999999</v>
      </c>
      <c r="I21" s="3">
        <v>0</v>
      </c>
      <c r="J21">
        <f t="shared" si="1"/>
        <v>1</v>
      </c>
      <c r="K21">
        <f t="shared" si="1"/>
        <v>0</v>
      </c>
      <c r="L21">
        <f t="shared" si="1"/>
        <v>0</v>
      </c>
      <c r="M21">
        <f t="shared" si="1"/>
        <v>0</v>
      </c>
      <c r="N21">
        <f t="shared" si="1"/>
        <v>0</v>
      </c>
      <c r="O21">
        <f t="shared" si="1"/>
        <v>0</v>
      </c>
      <c r="P21">
        <f t="shared" si="1"/>
        <v>0</v>
      </c>
      <c r="Q21" t="str">
        <f t="shared" si="2"/>
        <v>Cahill, Trevor - $31</v>
      </c>
    </row>
    <row r="22" spans="1:17" x14ac:dyDescent="0.35">
      <c r="A22" t="s">
        <v>337</v>
      </c>
      <c r="B22" t="s">
        <v>451</v>
      </c>
      <c r="C22" t="s">
        <v>311</v>
      </c>
      <c r="D22">
        <v>31</v>
      </c>
      <c r="E22">
        <v>4</v>
      </c>
      <c r="F22">
        <v>1.29</v>
      </c>
      <c r="G22">
        <v>4.8</v>
      </c>
      <c r="H22">
        <v>0.8</v>
      </c>
      <c r="I22" s="3">
        <v>0</v>
      </c>
      <c r="J22">
        <f t="shared" si="1"/>
        <v>1</v>
      </c>
      <c r="K22">
        <f t="shared" si="1"/>
        <v>0</v>
      </c>
      <c r="L22">
        <f t="shared" si="1"/>
        <v>0</v>
      </c>
      <c r="M22">
        <f t="shared" si="1"/>
        <v>0</v>
      </c>
      <c r="N22">
        <f t="shared" si="1"/>
        <v>0</v>
      </c>
      <c r="O22">
        <f t="shared" si="1"/>
        <v>0</v>
      </c>
      <c r="P22">
        <f t="shared" si="1"/>
        <v>0</v>
      </c>
      <c r="Q22" t="str">
        <f t="shared" si="2"/>
        <v>Norris, Daniel - $31</v>
      </c>
    </row>
    <row r="23" spans="1:17" x14ac:dyDescent="0.35">
      <c r="A23" t="s">
        <v>337</v>
      </c>
      <c r="B23" t="s">
        <v>457</v>
      </c>
      <c r="C23" t="s">
        <v>270</v>
      </c>
      <c r="D23">
        <v>31</v>
      </c>
      <c r="E23">
        <v>2.4</v>
      </c>
      <c r="F23">
        <v>0.77</v>
      </c>
      <c r="G23">
        <v>2.1</v>
      </c>
      <c r="H23">
        <v>0</v>
      </c>
      <c r="I23" s="3">
        <v>0</v>
      </c>
      <c r="J23">
        <f t="shared" si="1"/>
        <v>1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 t="shared" si="1"/>
        <v>0</v>
      </c>
      <c r="P23">
        <f t="shared" si="1"/>
        <v>0</v>
      </c>
      <c r="Q23" t="str">
        <f t="shared" si="2"/>
        <v>Gsellman, Robert - $31</v>
      </c>
    </row>
    <row r="24" spans="1:17" x14ac:dyDescent="0.35">
      <c r="A24" t="s">
        <v>337</v>
      </c>
      <c r="B24" t="s">
        <v>440</v>
      </c>
      <c r="C24" t="s">
        <v>277</v>
      </c>
      <c r="D24">
        <v>30</v>
      </c>
      <c r="E24">
        <v>5.8</v>
      </c>
      <c r="F24">
        <v>1.92</v>
      </c>
      <c r="G24">
        <v>8.1999999999999993</v>
      </c>
      <c r="H24">
        <v>2.8</v>
      </c>
      <c r="I24" s="3">
        <v>0</v>
      </c>
      <c r="J24">
        <f t="shared" si="1"/>
        <v>1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 t="shared" si="1"/>
        <v>0</v>
      </c>
      <c r="P24">
        <f t="shared" si="1"/>
        <v>0</v>
      </c>
      <c r="Q24" t="str">
        <f t="shared" si="2"/>
        <v>Chatwood, Tyler - $30</v>
      </c>
    </row>
    <row r="25" spans="1:17" x14ac:dyDescent="0.35">
      <c r="A25" t="s">
        <v>337</v>
      </c>
      <c r="B25" t="s">
        <v>455</v>
      </c>
      <c r="C25" t="s">
        <v>308</v>
      </c>
      <c r="D25">
        <v>29</v>
      </c>
      <c r="E25">
        <v>1.4</v>
      </c>
      <c r="F25">
        <v>0.49</v>
      </c>
      <c r="G25">
        <v>4.4000000000000004</v>
      </c>
      <c r="H25">
        <v>4.7</v>
      </c>
      <c r="I25" s="3">
        <v>0</v>
      </c>
      <c r="J25">
        <f t="shared" si="1"/>
        <v>1</v>
      </c>
      <c r="K25">
        <f t="shared" si="1"/>
        <v>0</v>
      </c>
      <c r="L25">
        <f t="shared" si="1"/>
        <v>0</v>
      </c>
      <c r="M25">
        <f t="shared" si="1"/>
        <v>0</v>
      </c>
      <c r="N25">
        <f t="shared" si="1"/>
        <v>0</v>
      </c>
      <c r="O25">
        <f t="shared" si="1"/>
        <v>0</v>
      </c>
      <c r="P25">
        <f t="shared" si="1"/>
        <v>0</v>
      </c>
      <c r="Q25" t="str">
        <f t="shared" si="2"/>
        <v>Glasnow, Tyler - $29</v>
      </c>
    </row>
    <row r="26" spans="1:17" x14ac:dyDescent="0.35">
      <c r="A26">
        <v>7</v>
      </c>
      <c r="B26" t="s">
        <v>259</v>
      </c>
      <c r="C26" t="s">
        <v>260</v>
      </c>
      <c r="D26">
        <v>28</v>
      </c>
      <c r="E26">
        <v>6.2</v>
      </c>
      <c r="F26">
        <v>2.2200000000000002</v>
      </c>
      <c r="G26">
        <v>6.6</v>
      </c>
      <c r="H26">
        <v>7.5</v>
      </c>
      <c r="I26" s="3">
        <v>0</v>
      </c>
      <c r="J26">
        <f t="shared" si="1"/>
        <v>0</v>
      </c>
      <c r="K26">
        <f t="shared" si="1"/>
        <v>0</v>
      </c>
      <c r="L26">
        <f t="shared" si="1"/>
        <v>0</v>
      </c>
      <c r="M26">
        <f t="shared" si="1"/>
        <v>0</v>
      </c>
      <c r="N26">
        <f t="shared" si="1"/>
        <v>0</v>
      </c>
      <c r="O26">
        <f t="shared" si="1"/>
        <v>0</v>
      </c>
      <c r="P26">
        <f t="shared" si="1"/>
        <v>1</v>
      </c>
      <c r="Q26" t="str">
        <f t="shared" si="2"/>
        <v>Harper, Bryce - $28</v>
      </c>
    </row>
    <row r="27" spans="1:17" x14ac:dyDescent="0.35">
      <c r="A27" t="s">
        <v>337</v>
      </c>
      <c r="B27" t="s">
        <v>453</v>
      </c>
      <c r="C27" t="s">
        <v>291</v>
      </c>
      <c r="D27">
        <v>28</v>
      </c>
      <c r="E27">
        <v>2.2000000000000002</v>
      </c>
      <c r="F27">
        <v>0.77</v>
      </c>
      <c r="G27">
        <v>3.2</v>
      </c>
      <c r="H27">
        <v>1.2</v>
      </c>
      <c r="I27" s="3">
        <v>0</v>
      </c>
      <c r="J27">
        <f t="shared" si="1"/>
        <v>1</v>
      </c>
      <c r="K27">
        <f t="shared" si="1"/>
        <v>0</v>
      </c>
      <c r="L27">
        <f t="shared" si="1"/>
        <v>0</v>
      </c>
      <c r="M27">
        <f t="shared" si="1"/>
        <v>0</v>
      </c>
      <c r="N27">
        <f t="shared" si="1"/>
        <v>0</v>
      </c>
      <c r="O27">
        <f t="shared" si="1"/>
        <v>0</v>
      </c>
      <c r="P27">
        <f t="shared" si="1"/>
        <v>0</v>
      </c>
      <c r="Q27" t="str">
        <f t="shared" si="2"/>
        <v>Karns, Nathan - $28</v>
      </c>
    </row>
    <row r="28" spans="1:17" x14ac:dyDescent="0.35">
      <c r="A28">
        <v>3</v>
      </c>
      <c r="B28" t="s">
        <v>26</v>
      </c>
      <c r="C28" t="s">
        <v>255</v>
      </c>
      <c r="D28">
        <v>26</v>
      </c>
      <c r="E28">
        <v>6.4</v>
      </c>
      <c r="F28">
        <v>2.46</v>
      </c>
      <c r="G28">
        <v>7.9</v>
      </c>
      <c r="H28">
        <v>8.1999999999999993</v>
      </c>
      <c r="I28" s="3">
        <v>1</v>
      </c>
      <c r="J28">
        <f t="shared" si="1"/>
        <v>0</v>
      </c>
      <c r="K28">
        <f t="shared" si="1"/>
        <v>0</v>
      </c>
      <c r="L28">
        <f t="shared" si="1"/>
        <v>1</v>
      </c>
      <c r="M28">
        <f t="shared" si="1"/>
        <v>0</v>
      </c>
      <c r="N28">
        <f t="shared" si="1"/>
        <v>0</v>
      </c>
      <c r="O28">
        <f t="shared" si="1"/>
        <v>0</v>
      </c>
      <c r="P28">
        <f t="shared" si="1"/>
        <v>0</v>
      </c>
      <c r="Q28" t="str">
        <f t="shared" si="2"/>
        <v>Thames, Eric - $26</v>
      </c>
    </row>
    <row r="29" spans="1:17" x14ac:dyDescent="0.35">
      <c r="A29">
        <v>5</v>
      </c>
      <c r="B29" t="s">
        <v>276</v>
      </c>
      <c r="C29" t="s">
        <v>277</v>
      </c>
      <c r="D29">
        <v>26</v>
      </c>
      <c r="E29">
        <v>4.5</v>
      </c>
      <c r="F29">
        <v>1.72</v>
      </c>
      <c r="G29">
        <v>4.8</v>
      </c>
      <c r="H29">
        <v>3.5</v>
      </c>
      <c r="I29" s="3">
        <v>0</v>
      </c>
      <c r="J29">
        <f t="shared" si="1"/>
        <v>0</v>
      </c>
      <c r="K29">
        <f t="shared" si="1"/>
        <v>0</v>
      </c>
      <c r="L29">
        <f t="shared" si="1"/>
        <v>0</v>
      </c>
      <c r="M29">
        <f t="shared" si="1"/>
        <v>0</v>
      </c>
      <c r="N29">
        <f t="shared" si="1"/>
        <v>1</v>
      </c>
      <c r="O29">
        <f t="shared" si="1"/>
        <v>0</v>
      </c>
      <c r="P29">
        <f t="shared" si="1"/>
        <v>0</v>
      </c>
      <c r="Q29" t="str">
        <f t="shared" si="2"/>
        <v>Arenado, Nolan - $26</v>
      </c>
    </row>
    <row r="30" spans="1:17" x14ac:dyDescent="0.35">
      <c r="A30" t="s">
        <v>337</v>
      </c>
      <c r="B30" t="s">
        <v>447</v>
      </c>
      <c r="C30" t="s">
        <v>255</v>
      </c>
      <c r="D30">
        <v>26</v>
      </c>
      <c r="E30">
        <v>4</v>
      </c>
      <c r="F30">
        <v>1.54</v>
      </c>
      <c r="G30">
        <v>2.5</v>
      </c>
      <c r="H30">
        <v>-4.2</v>
      </c>
      <c r="I30" s="3">
        <v>0</v>
      </c>
      <c r="J30">
        <f t="shared" si="1"/>
        <v>1</v>
      </c>
      <c r="K30">
        <f t="shared" si="1"/>
        <v>0</v>
      </c>
      <c r="L30">
        <f t="shared" si="1"/>
        <v>0</v>
      </c>
      <c r="M30">
        <f t="shared" si="1"/>
        <v>0</v>
      </c>
      <c r="N30">
        <f t="shared" si="1"/>
        <v>0</v>
      </c>
      <c r="O30">
        <f t="shared" si="1"/>
        <v>0</v>
      </c>
      <c r="P30">
        <f t="shared" si="1"/>
        <v>0</v>
      </c>
      <c r="Q30" t="str">
        <f t="shared" si="2"/>
        <v>Peralta, Wily - $26</v>
      </c>
    </row>
    <row r="31" spans="1:17" x14ac:dyDescent="0.35">
      <c r="A31">
        <v>7</v>
      </c>
      <c r="B31" t="s">
        <v>14</v>
      </c>
      <c r="C31" t="s">
        <v>275</v>
      </c>
      <c r="D31">
        <v>25</v>
      </c>
      <c r="E31">
        <v>4.5999999999999996</v>
      </c>
      <c r="F31">
        <v>1.85</v>
      </c>
      <c r="G31">
        <v>4.8</v>
      </c>
      <c r="H31">
        <v>7.8</v>
      </c>
      <c r="I31" s="3">
        <v>0</v>
      </c>
      <c r="J31">
        <f t="shared" si="1"/>
        <v>0</v>
      </c>
      <c r="K31">
        <f t="shared" si="1"/>
        <v>0</v>
      </c>
      <c r="L31">
        <f t="shared" si="1"/>
        <v>0</v>
      </c>
      <c r="M31">
        <f t="shared" si="1"/>
        <v>0</v>
      </c>
      <c r="N31">
        <f t="shared" si="1"/>
        <v>0</v>
      </c>
      <c r="O31">
        <f t="shared" si="1"/>
        <v>0</v>
      </c>
      <c r="P31">
        <f t="shared" si="1"/>
        <v>1</v>
      </c>
      <c r="Q31" t="str">
        <f t="shared" si="2"/>
        <v>Trout, Mike - $25</v>
      </c>
    </row>
    <row r="32" spans="1:17" x14ac:dyDescent="0.35">
      <c r="A32">
        <v>3</v>
      </c>
      <c r="B32" t="s">
        <v>79</v>
      </c>
      <c r="C32" t="s">
        <v>294</v>
      </c>
      <c r="D32">
        <v>25</v>
      </c>
      <c r="E32">
        <v>4.2</v>
      </c>
      <c r="F32">
        <v>1.67</v>
      </c>
      <c r="G32">
        <v>5.6</v>
      </c>
      <c r="H32">
        <v>-0.8</v>
      </c>
      <c r="I32" s="3">
        <v>0</v>
      </c>
      <c r="J32">
        <f t="shared" si="1"/>
        <v>0</v>
      </c>
      <c r="K32">
        <f t="shared" si="1"/>
        <v>0</v>
      </c>
      <c r="L32">
        <f t="shared" si="1"/>
        <v>1</v>
      </c>
      <c r="M32">
        <f t="shared" si="1"/>
        <v>0</v>
      </c>
      <c r="N32">
        <f t="shared" si="1"/>
        <v>0</v>
      </c>
      <c r="O32">
        <f t="shared" si="1"/>
        <v>0</v>
      </c>
      <c r="P32">
        <f t="shared" si="1"/>
        <v>0</v>
      </c>
      <c r="Q32" t="str">
        <f t="shared" si="2"/>
        <v>Rizzo, Anthony - $25</v>
      </c>
    </row>
    <row r="33" spans="1:17" x14ac:dyDescent="0.35">
      <c r="A33" t="s">
        <v>337</v>
      </c>
      <c r="B33" t="s">
        <v>355</v>
      </c>
      <c r="C33" t="s">
        <v>273</v>
      </c>
      <c r="D33">
        <v>25</v>
      </c>
      <c r="E33">
        <v>9</v>
      </c>
      <c r="F33">
        <v>3.59</v>
      </c>
      <c r="G33">
        <v>11.5</v>
      </c>
      <c r="H33">
        <v>10.5</v>
      </c>
      <c r="I33" s="3">
        <v>1</v>
      </c>
      <c r="J33">
        <f t="shared" si="1"/>
        <v>1</v>
      </c>
      <c r="K33">
        <f t="shared" si="1"/>
        <v>0</v>
      </c>
      <c r="L33">
        <f t="shared" si="1"/>
        <v>0</v>
      </c>
      <c r="M33">
        <f t="shared" si="1"/>
        <v>0</v>
      </c>
      <c r="N33">
        <f t="shared" si="1"/>
        <v>0</v>
      </c>
      <c r="O33">
        <f t="shared" si="1"/>
        <v>0</v>
      </c>
      <c r="P33">
        <f t="shared" si="1"/>
        <v>0</v>
      </c>
      <c r="Q33" t="str">
        <f t="shared" si="2"/>
        <v>Severino, Luis - $25</v>
      </c>
    </row>
    <row r="34" spans="1:17" x14ac:dyDescent="0.35">
      <c r="A34" t="s">
        <v>337</v>
      </c>
      <c r="B34" t="s">
        <v>454</v>
      </c>
      <c r="C34" t="s">
        <v>263</v>
      </c>
      <c r="D34">
        <v>25</v>
      </c>
      <c r="E34">
        <v>2.1</v>
      </c>
      <c r="F34">
        <v>0.84</v>
      </c>
      <c r="G34">
        <v>3.5</v>
      </c>
      <c r="H34">
        <v>3.5</v>
      </c>
      <c r="I34" s="3">
        <v>0</v>
      </c>
      <c r="J34">
        <f t="shared" si="1"/>
        <v>1</v>
      </c>
      <c r="K34">
        <f t="shared" si="1"/>
        <v>0</v>
      </c>
      <c r="L34">
        <f t="shared" si="1"/>
        <v>0</v>
      </c>
      <c r="M34">
        <f t="shared" si="1"/>
        <v>0</v>
      </c>
      <c r="N34">
        <f t="shared" si="1"/>
        <v>0</v>
      </c>
      <c r="O34">
        <f t="shared" si="1"/>
        <v>0</v>
      </c>
      <c r="P34">
        <f t="shared" si="1"/>
        <v>0</v>
      </c>
      <c r="Q34" t="str">
        <f t="shared" si="2"/>
        <v>Davis, Rookie - $25</v>
      </c>
    </row>
    <row r="35" spans="1:17" x14ac:dyDescent="0.35">
      <c r="A35" t="s">
        <v>337</v>
      </c>
      <c r="B35" t="s">
        <v>456</v>
      </c>
      <c r="C35" t="s">
        <v>314</v>
      </c>
      <c r="D35">
        <v>25</v>
      </c>
      <c r="E35">
        <v>-0.3</v>
      </c>
      <c r="F35">
        <v>-0.12</v>
      </c>
      <c r="G35">
        <v>-0.3</v>
      </c>
      <c r="H35">
        <v>-0.3</v>
      </c>
      <c r="I35" s="3">
        <v>0</v>
      </c>
      <c r="J35">
        <f t="shared" ref="J35:P66" si="3">IFERROR(IF(SEARCH(J$1,$A35)=1,1,0),0)</f>
        <v>1</v>
      </c>
      <c r="K35">
        <f t="shared" si="3"/>
        <v>0</v>
      </c>
      <c r="L35">
        <f t="shared" si="3"/>
        <v>0</v>
      </c>
      <c r="M35">
        <f t="shared" si="3"/>
        <v>0</v>
      </c>
      <c r="N35">
        <f t="shared" si="3"/>
        <v>0</v>
      </c>
      <c r="O35">
        <f t="shared" si="3"/>
        <v>0</v>
      </c>
      <c r="P35">
        <f t="shared" si="3"/>
        <v>0</v>
      </c>
      <c r="Q35" t="str">
        <f t="shared" si="2"/>
        <v>Latos, Mat - $25</v>
      </c>
    </row>
    <row r="36" spans="1:17" x14ac:dyDescent="0.35">
      <c r="A36">
        <v>3</v>
      </c>
      <c r="B36" t="s">
        <v>187</v>
      </c>
      <c r="C36" t="s">
        <v>264</v>
      </c>
      <c r="D36">
        <v>24</v>
      </c>
      <c r="E36">
        <v>5.0999999999999996</v>
      </c>
      <c r="F36">
        <v>2.12</v>
      </c>
      <c r="G36">
        <v>5.5</v>
      </c>
      <c r="H36">
        <v>1.5</v>
      </c>
      <c r="I36" s="3">
        <v>0</v>
      </c>
      <c r="J36">
        <f t="shared" si="3"/>
        <v>0</v>
      </c>
      <c r="K36">
        <f t="shared" si="3"/>
        <v>0</v>
      </c>
      <c r="L36">
        <f t="shared" si="3"/>
        <v>1</v>
      </c>
      <c r="M36">
        <f t="shared" si="3"/>
        <v>0</v>
      </c>
      <c r="N36">
        <f t="shared" si="3"/>
        <v>0</v>
      </c>
      <c r="O36">
        <f t="shared" si="3"/>
        <v>0</v>
      </c>
      <c r="P36">
        <f t="shared" si="3"/>
        <v>0</v>
      </c>
      <c r="Q36" t="str">
        <f t="shared" si="2"/>
        <v>Freeman, Freddie - $24</v>
      </c>
    </row>
    <row r="37" spans="1:17" x14ac:dyDescent="0.35">
      <c r="A37">
        <v>7</v>
      </c>
      <c r="B37" t="s">
        <v>120</v>
      </c>
      <c r="C37" t="s">
        <v>255</v>
      </c>
      <c r="D37">
        <v>24</v>
      </c>
      <c r="E37">
        <v>4.2</v>
      </c>
      <c r="F37">
        <v>1.77</v>
      </c>
      <c r="G37">
        <v>4.5</v>
      </c>
      <c r="H37">
        <v>-0.8</v>
      </c>
      <c r="I37" s="3">
        <v>0</v>
      </c>
      <c r="J37">
        <f t="shared" si="3"/>
        <v>0</v>
      </c>
      <c r="K37">
        <f t="shared" si="3"/>
        <v>0</v>
      </c>
      <c r="L37">
        <f t="shared" si="3"/>
        <v>0</v>
      </c>
      <c r="M37">
        <f t="shared" si="3"/>
        <v>0</v>
      </c>
      <c r="N37">
        <f t="shared" si="3"/>
        <v>0</v>
      </c>
      <c r="O37">
        <f t="shared" si="3"/>
        <v>0</v>
      </c>
      <c r="P37">
        <f t="shared" si="3"/>
        <v>1</v>
      </c>
      <c r="Q37" t="str">
        <f t="shared" si="2"/>
        <v>Braun, Ryan - $24</v>
      </c>
    </row>
    <row r="38" spans="1:17" x14ac:dyDescent="0.35">
      <c r="A38">
        <v>7</v>
      </c>
      <c r="B38" t="s">
        <v>302</v>
      </c>
      <c r="C38" t="s">
        <v>277</v>
      </c>
      <c r="D38">
        <v>23</v>
      </c>
      <c r="E38">
        <v>4.8</v>
      </c>
      <c r="F38">
        <v>2.1</v>
      </c>
      <c r="G38">
        <v>6.1</v>
      </c>
      <c r="H38">
        <v>13.5</v>
      </c>
      <c r="I38" s="3">
        <v>0</v>
      </c>
      <c r="J38">
        <f t="shared" si="3"/>
        <v>0</v>
      </c>
      <c r="K38">
        <f t="shared" si="3"/>
        <v>0</v>
      </c>
      <c r="L38">
        <f t="shared" si="3"/>
        <v>0</v>
      </c>
      <c r="M38">
        <f t="shared" si="3"/>
        <v>0</v>
      </c>
      <c r="N38">
        <f t="shared" si="3"/>
        <v>0</v>
      </c>
      <c r="O38">
        <f t="shared" si="3"/>
        <v>0</v>
      </c>
      <c r="P38">
        <f t="shared" si="3"/>
        <v>1</v>
      </c>
      <c r="Q38" t="str">
        <f t="shared" si="2"/>
        <v>Blackmon, Charlie - $23</v>
      </c>
    </row>
    <row r="39" spans="1:17" x14ac:dyDescent="0.35">
      <c r="A39">
        <v>3</v>
      </c>
      <c r="B39" t="s">
        <v>295</v>
      </c>
      <c r="C39" t="s">
        <v>260</v>
      </c>
      <c r="D39">
        <v>23</v>
      </c>
      <c r="E39">
        <v>4.8</v>
      </c>
      <c r="F39">
        <v>2.08</v>
      </c>
      <c r="G39">
        <v>4.5999999999999996</v>
      </c>
      <c r="H39">
        <v>4.2</v>
      </c>
      <c r="I39" s="3">
        <v>0</v>
      </c>
      <c r="J39">
        <f t="shared" si="3"/>
        <v>0</v>
      </c>
      <c r="K39">
        <f t="shared" si="3"/>
        <v>0</v>
      </c>
      <c r="L39">
        <f t="shared" si="3"/>
        <v>1</v>
      </c>
      <c r="M39">
        <f t="shared" si="3"/>
        <v>0</v>
      </c>
      <c r="N39">
        <f t="shared" si="3"/>
        <v>0</v>
      </c>
      <c r="O39">
        <f t="shared" si="3"/>
        <v>0</v>
      </c>
      <c r="P39">
        <f t="shared" si="3"/>
        <v>0</v>
      </c>
      <c r="Q39" t="str">
        <f t="shared" si="2"/>
        <v>Zimmerman, Ryan - $23</v>
      </c>
    </row>
    <row r="40" spans="1:17" x14ac:dyDescent="0.35">
      <c r="A40">
        <v>5</v>
      </c>
      <c r="B40" t="s">
        <v>262</v>
      </c>
      <c r="C40" t="s">
        <v>263</v>
      </c>
      <c r="D40">
        <v>22</v>
      </c>
      <c r="E40">
        <v>4.5999999999999996</v>
      </c>
      <c r="F40">
        <v>2.11</v>
      </c>
      <c r="G40">
        <v>4.7</v>
      </c>
      <c r="H40">
        <v>1.2</v>
      </c>
      <c r="I40" s="3">
        <v>0</v>
      </c>
      <c r="J40">
        <f t="shared" si="3"/>
        <v>0</v>
      </c>
      <c r="K40">
        <f t="shared" si="3"/>
        <v>0</v>
      </c>
      <c r="L40">
        <f t="shared" si="3"/>
        <v>0</v>
      </c>
      <c r="M40">
        <f t="shared" si="3"/>
        <v>0</v>
      </c>
      <c r="N40">
        <f t="shared" si="3"/>
        <v>1</v>
      </c>
      <c r="O40">
        <f t="shared" si="3"/>
        <v>0</v>
      </c>
      <c r="P40">
        <f t="shared" si="3"/>
        <v>0</v>
      </c>
      <c r="Q40" t="str">
        <f t="shared" si="2"/>
        <v>Suarez, Eugenio - $22</v>
      </c>
    </row>
    <row r="41" spans="1:17" x14ac:dyDescent="0.35">
      <c r="A41">
        <v>3</v>
      </c>
      <c r="B41" t="s">
        <v>296</v>
      </c>
      <c r="C41" t="s">
        <v>263</v>
      </c>
      <c r="D41">
        <v>22</v>
      </c>
      <c r="E41">
        <v>4.3</v>
      </c>
      <c r="F41">
        <v>1.95</v>
      </c>
      <c r="G41">
        <v>4.8</v>
      </c>
      <c r="H41">
        <v>1</v>
      </c>
      <c r="I41" s="3">
        <v>0</v>
      </c>
      <c r="J41">
        <f t="shared" si="3"/>
        <v>0</v>
      </c>
      <c r="K41">
        <f t="shared" si="3"/>
        <v>0</v>
      </c>
      <c r="L41">
        <f t="shared" si="3"/>
        <v>1</v>
      </c>
      <c r="M41">
        <f t="shared" si="3"/>
        <v>0</v>
      </c>
      <c r="N41">
        <f t="shared" si="3"/>
        <v>0</v>
      </c>
      <c r="O41">
        <f t="shared" si="3"/>
        <v>0</v>
      </c>
      <c r="P41">
        <f t="shared" si="3"/>
        <v>0</v>
      </c>
      <c r="Q41" t="str">
        <f t="shared" si="2"/>
        <v>Votto, Joey - $22</v>
      </c>
    </row>
    <row r="42" spans="1:17" x14ac:dyDescent="0.35">
      <c r="A42">
        <v>4</v>
      </c>
      <c r="B42" t="s">
        <v>274</v>
      </c>
      <c r="C42" t="s">
        <v>260</v>
      </c>
      <c r="D42">
        <v>22</v>
      </c>
      <c r="E42">
        <v>4.4000000000000004</v>
      </c>
      <c r="F42">
        <v>1.99</v>
      </c>
      <c r="G42">
        <v>4.4000000000000004</v>
      </c>
      <c r="H42">
        <v>11.8</v>
      </c>
      <c r="I42" s="3">
        <v>0</v>
      </c>
      <c r="J42">
        <f t="shared" si="3"/>
        <v>0</v>
      </c>
      <c r="K42">
        <f t="shared" si="3"/>
        <v>0</v>
      </c>
      <c r="L42">
        <f t="shared" si="3"/>
        <v>0</v>
      </c>
      <c r="M42">
        <f t="shared" si="3"/>
        <v>1</v>
      </c>
      <c r="N42">
        <f t="shared" si="3"/>
        <v>0</v>
      </c>
      <c r="O42">
        <f t="shared" si="3"/>
        <v>0</v>
      </c>
      <c r="P42">
        <f t="shared" si="3"/>
        <v>0</v>
      </c>
      <c r="Q42" t="str">
        <f t="shared" si="2"/>
        <v>Murphy, Dan - $22</v>
      </c>
    </row>
    <row r="43" spans="1:17" x14ac:dyDescent="0.35">
      <c r="A43">
        <v>7</v>
      </c>
      <c r="B43" t="s">
        <v>204</v>
      </c>
      <c r="C43" t="s">
        <v>261</v>
      </c>
      <c r="D43">
        <v>22</v>
      </c>
      <c r="E43">
        <v>3.8</v>
      </c>
      <c r="F43">
        <v>1.72</v>
      </c>
      <c r="G43">
        <v>5.4</v>
      </c>
      <c r="H43">
        <v>12.8</v>
      </c>
      <c r="I43" s="3">
        <v>0</v>
      </c>
      <c r="J43">
        <f t="shared" si="3"/>
        <v>0</v>
      </c>
      <c r="K43">
        <f t="shared" si="3"/>
        <v>0</v>
      </c>
      <c r="L43">
        <f t="shared" si="3"/>
        <v>0</v>
      </c>
      <c r="M43">
        <f t="shared" si="3"/>
        <v>0</v>
      </c>
      <c r="N43">
        <f t="shared" si="3"/>
        <v>0</v>
      </c>
      <c r="O43">
        <f t="shared" si="3"/>
        <v>0</v>
      </c>
      <c r="P43">
        <f t="shared" si="3"/>
        <v>1</v>
      </c>
      <c r="Q43" t="str">
        <f t="shared" si="2"/>
        <v>Cruz, Nelson - $22</v>
      </c>
    </row>
    <row r="44" spans="1:17" x14ac:dyDescent="0.35">
      <c r="A44">
        <v>7</v>
      </c>
      <c r="B44" t="s">
        <v>12</v>
      </c>
      <c r="C44" t="s">
        <v>271</v>
      </c>
      <c r="D44">
        <v>22</v>
      </c>
      <c r="E44">
        <v>4</v>
      </c>
      <c r="F44">
        <v>1.8</v>
      </c>
      <c r="G44">
        <v>3.2</v>
      </c>
      <c r="H44">
        <v>-0.8</v>
      </c>
      <c r="I44" s="3">
        <v>0</v>
      </c>
      <c r="J44">
        <f t="shared" si="3"/>
        <v>0</v>
      </c>
      <c r="K44">
        <f t="shared" si="3"/>
        <v>0</v>
      </c>
      <c r="L44">
        <f t="shared" si="3"/>
        <v>0</v>
      </c>
      <c r="M44">
        <f t="shared" si="3"/>
        <v>0</v>
      </c>
      <c r="N44">
        <f t="shared" si="3"/>
        <v>0</v>
      </c>
      <c r="O44">
        <f t="shared" si="3"/>
        <v>0</v>
      </c>
      <c r="P44">
        <f t="shared" si="3"/>
        <v>1</v>
      </c>
      <c r="Q44" t="str">
        <f t="shared" si="2"/>
        <v>Davis, Khris - $22</v>
      </c>
    </row>
    <row r="45" spans="1:17" x14ac:dyDescent="0.35">
      <c r="A45">
        <v>5</v>
      </c>
      <c r="B45" t="s">
        <v>124</v>
      </c>
      <c r="C45" t="s">
        <v>294</v>
      </c>
      <c r="D45">
        <v>22</v>
      </c>
      <c r="E45">
        <v>3.5</v>
      </c>
      <c r="F45">
        <v>1.61</v>
      </c>
      <c r="G45">
        <v>3.8</v>
      </c>
      <c r="H45">
        <v>3</v>
      </c>
      <c r="I45" s="3">
        <v>0</v>
      </c>
      <c r="J45">
        <f t="shared" si="3"/>
        <v>0</v>
      </c>
      <c r="K45">
        <f t="shared" si="3"/>
        <v>0</v>
      </c>
      <c r="L45">
        <f t="shared" si="3"/>
        <v>0</v>
      </c>
      <c r="M45">
        <f t="shared" si="3"/>
        <v>0</v>
      </c>
      <c r="N45">
        <f t="shared" si="3"/>
        <v>1</v>
      </c>
      <c r="O45">
        <f t="shared" si="3"/>
        <v>0</v>
      </c>
      <c r="P45">
        <f t="shared" si="3"/>
        <v>0</v>
      </c>
      <c r="Q45" t="str">
        <f t="shared" si="2"/>
        <v>Bryant, Kris - $22</v>
      </c>
    </row>
    <row r="46" spans="1:17" x14ac:dyDescent="0.35">
      <c r="A46">
        <v>7</v>
      </c>
      <c r="B46" t="s">
        <v>178</v>
      </c>
      <c r="C46" t="s">
        <v>261</v>
      </c>
      <c r="D46">
        <v>21</v>
      </c>
      <c r="E46">
        <v>4.8</v>
      </c>
      <c r="F46">
        <v>2.2999999999999998</v>
      </c>
      <c r="G46">
        <v>4.9000000000000004</v>
      </c>
      <c r="H46">
        <v>3.5</v>
      </c>
      <c r="I46" s="3">
        <v>0</v>
      </c>
      <c r="J46">
        <f t="shared" si="3"/>
        <v>0</v>
      </c>
      <c r="K46">
        <f t="shared" si="3"/>
        <v>0</v>
      </c>
      <c r="L46">
        <f t="shared" si="3"/>
        <v>0</v>
      </c>
      <c r="M46">
        <f t="shared" si="3"/>
        <v>0</v>
      </c>
      <c r="N46">
        <f t="shared" si="3"/>
        <v>0</v>
      </c>
      <c r="O46">
        <f t="shared" si="3"/>
        <v>0</v>
      </c>
      <c r="P46">
        <f t="shared" si="3"/>
        <v>1</v>
      </c>
      <c r="Q46" t="str">
        <f t="shared" si="2"/>
        <v>Haniger, Mitch - $21</v>
      </c>
    </row>
    <row r="47" spans="1:17" x14ac:dyDescent="0.35">
      <c r="A47">
        <v>3</v>
      </c>
      <c r="B47" t="s">
        <v>182</v>
      </c>
      <c r="C47" t="s">
        <v>272</v>
      </c>
      <c r="D47">
        <v>21</v>
      </c>
      <c r="E47">
        <v>4.5</v>
      </c>
      <c r="F47">
        <v>2.13</v>
      </c>
      <c r="G47">
        <v>4.0999999999999996</v>
      </c>
      <c r="H47">
        <v>16.2</v>
      </c>
      <c r="I47" s="3">
        <v>0</v>
      </c>
      <c r="J47">
        <f t="shared" si="3"/>
        <v>0</v>
      </c>
      <c r="K47">
        <f t="shared" si="3"/>
        <v>0</v>
      </c>
      <c r="L47">
        <f t="shared" si="3"/>
        <v>1</v>
      </c>
      <c r="M47">
        <f t="shared" si="3"/>
        <v>0</v>
      </c>
      <c r="N47">
        <f t="shared" si="3"/>
        <v>0</v>
      </c>
      <c r="O47">
        <f t="shared" si="3"/>
        <v>0</v>
      </c>
      <c r="P47">
        <f t="shared" si="3"/>
        <v>0</v>
      </c>
      <c r="Q47" t="str">
        <f t="shared" si="2"/>
        <v>Goldschmidt, Paul - $21</v>
      </c>
    </row>
    <row r="48" spans="1:17" x14ac:dyDescent="0.35">
      <c r="A48">
        <v>7</v>
      </c>
      <c r="B48" t="s">
        <v>100</v>
      </c>
      <c r="C48" t="s">
        <v>283</v>
      </c>
      <c r="D48">
        <v>21</v>
      </c>
      <c r="E48">
        <v>3.9</v>
      </c>
      <c r="F48">
        <v>1.87</v>
      </c>
      <c r="G48">
        <v>3.9</v>
      </c>
      <c r="H48">
        <v>2.2000000000000002</v>
      </c>
      <c r="I48" s="3">
        <v>0</v>
      </c>
      <c r="J48">
        <f t="shared" si="3"/>
        <v>0</v>
      </c>
      <c r="K48">
        <f t="shared" si="3"/>
        <v>0</v>
      </c>
      <c r="L48">
        <f t="shared" si="3"/>
        <v>0</v>
      </c>
      <c r="M48">
        <f t="shared" si="3"/>
        <v>0</v>
      </c>
      <c r="N48">
        <f t="shared" si="3"/>
        <v>0</v>
      </c>
      <c r="O48">
        <f t="shared" si="3"/>
        <v>0</v>
      </c>
      <c r="P48">
        <f t="shared" si="3"/>
        <v>1</v>
      </c>
      <c r="Q48" t="str">
        <f t="shared" si="2"/>
        <v>Souza Jr., Steven - $21</v>
      </c>
    </row>
    <row r="49" spans="1:17" x14ac:dyDescent="0.35">
      <c r="A49">
        <v>7</v>
      </c>
      <c r="B49" t="s">
        <v>287</v>
      </c>
      <c r="C49" t="s">
        <v>260</v>
      </c>
      <c r="D49">
        <v>21</v>
      </c>
      <c r="E49">
        <v>4</v>
      </c>
      <c r="F49">
        <v>1.89</v>
      </c>
      <c r="G49">
        <v>3.2</v>
      </c>
      <c r="H49">
        <v>8</v>
      </c>
      <c r="I49" s="3">
        <v>0</v>
      </c>
      <c r="J49">
        <f t="shared" si="3"/>
        <v>0</v>
      </c>
      <c r="K49">
        <f t="shared" si="3"/>
        <v>0</v>
      </c>
      <c r="L49">
        <f t="shared" si="3"/>
        <v>0</v>
      </c>
      <c r="M49">
        <f t="shared" si="3"/>
        <v>0</v>
      </c>
      <c r="N49">
        <f t="shared" si="3"/>
        <v>0</v>
      </c>
      <c r="O49">
        <f t="shared" si="3"/>
        <v>0</v>
      </c>
      <c r="P49">
        <f t="shared" si="3"/>
        <v>1</v>
      </c>
      <c r="Q49" t="str">
        <f t="shared" si="2"/>
        <v>Eaton, Adam - $21</v>
      </c>
    </row>
    <row r="50" spans="1:17" x14ac:dyDescent="0.35">
      <c r="A50">
        <v>7</v>
      </c>
      <c r="B50" t="s">
        <v>269</v>
      </c>
      <c r="C50" t="s">
        <v>270</v>
      </c>
      <c r="D50">
        <v>21</v>
      </c>
      <c r="E50">
        <v>4.2</v>
      </c>
      <c r="F50">
        <v>2</v>
      </c>
      <c r="G50">
        <v>6</v>
      </c>
      <c r="H50">
        <v>1.8</v>
      </c>
      <c r="I50" s="3">
        <v>0</v>
      </c>
      <c r="J50">
        <f t="shared" si="3"/>
        <v>0</v>
      </c>
      <c r="K50">
        <f t="shared" si="3"/>
        <v>0</v>
      </c>
      <c r="L50">
        <f t="shared" si="3"/>
        <v>0</v>
      </c>
      <c r="M50">
        <f t="shared" si="3"/>
        <v>0</v>
      </c>
      <c r="N50">
        <f t="shared" si="3"/>
        <v>0</v>
      </c>
      <c r="O50">
        <f t="shared" si="3"/>
        <v>0</v>
      </c>
      <c r="P50">
        <f t="shared" si="3"/>
        <v>1</v>
      </c>
      <c r="Q50" t="str">
        <f t="shared" si="2"/>
        <v>Cespedes, Yoenis - $21</v>
      </c>
    </row>
    <row r="51" spans="1:17" x14ac:dyDescent="0.35">
      <c r="A51">
        <v>6</v>
      </c>
      <c r="B51" t="s">
        <v>353</v>
      </c>
      <c r="C51" t="s">
        <v>277</v>
      </c>
      <c r="D51">
        <v>21</v>
      </c>
      <c r="E51">
        <v>2.4</v>
      </c>
      <c r="F51">
        <v>1.1299999999999999</v>
      </c>
      <c r="G51">
        <v>3.1</v>
      </c>
      <c r="H51">
        <v>1.8</v>
      </c>
      <c r="I51" s="3">
        <v>0</v>
      </c>
      <c r="J51">
        <f t="shared" si="3"/>
        <v>0</v>
      </c>
      <c r="K51">
        <f t="shared" si="3"/>
        <v>0</v>
      </c>
      <c r="L51">
        <f t="shared" si="3"/>
        <v>0</v>
      </c>
      <c r="M51">
        <f t="shared" si="3"/>
        <v>0</v>
      </c>
      <c r="N51">
        <f t="shared" si="3"/>
        <v>0</v>
      </c>
      <c r="O51">
        <f t="shared" si="3"/>
        <v>1</v>
      </c>
      <c r="P51">
        <f t="shared" si="3"/>
        <v>0</v>
      </c>
      <c r="Q51" t="str">
        <f t="shared" si="2"/>
        <v>Story, Trevor - $21</v>
      </c>
    </row>
    <row r="52" spans="1:17" x14ac:dyDescent="0.35">
      <c r="A52">
        <v>6</v>
      </c>
      <c r="B52" t="s">
        <v>413</v>
      </c>
      <c r="C52" t="s">
        <v>260</v>
      </c>
      <c r="D52">
        <v>21</v>
      </c>
      <c r="E52">
        <v>4.3</v>
      </c>
      <c r="F52">
        <v>2.06</v>
      </c>
      <c r="G52">
        <v>7.7</v>
      </c>
      <c r="H52">
        <v>26.5</v>
      </c>
      <c r="I52" s="3">
        <v>0</v>
      </c>
      <c r="J52">
        <f t="shared" si="3"/>
        <v>0</v>
      </c>
      <c r="K52">
        <f t="shared" si="3"/>
        <v>0</v>
      </c>
      <c r="L52">
        <f t="shared" si="3"/>
        <v>0</v>
      </c>
      <c r="M52">
        <f t="shared" si="3"/>
        <v>0</v>
      </c>
      <c r="N52">
        <f t="shared" si="3"/>
        <v>0</v>
      </c>
      <c r="O52">
        <f t="shared" si="3"/>
        <v>1</v>
      </c>
      <c r="P52">
        <f t="shared" si="3"/>
        <v>0</v>
      </c>
      <c r="Q52" t="str">
        <f t="shared" si="2"/>
        <v>Turner, Trea - $21</v>
      </c>
    </row>
    <row r="53" spans="1:17" x14ac:dyDescent="0.35">
      <c r="A53">
        <v>3</v>
      </c>
      <c r="B53" t="s">
        <v>280</v>
      </c>
      <c r="C53" t="s">
        <v>277</v>
      </c>
      <c r="D53">
        <v>20</v>
      </c>
      <c r="E53">
        <v>4.5</v>
      </c>
      <c r="F53">
        <v>2.2400000000000002</v>
      </c>
      <c r="G53">
        <v>3.9</v>
      </c>
      <c r="H53">
        <v>8.5</v>
      </c>
      <c r="I53" s="3">
        <v>0</v>
      </c>
      <c r="J53">
        <f t="shared" si="3"/>
        <v>0</v>
      </c>
      <c r="K53">
        <f t="shared" si="3"/>
        <v>0</v>
      </c>
      <c r="L53">
        <f t="shared" si="3"/>
        <v>1</v>
      </c>
      <c r="M53">
        <f t="shared" si="3"/>
        <v>0</v>
      </c>
      <c r="N53">
        <f t="shared" si="3"/>
        <v>0</v>
      </c>
      <c r="O53">
        <f t="shared" si="3"/>
        <v>0</v>
      </c>
      <c r="P53">
        <f t="shared" si="3"/>
        <v>0</v>
      </c>
      <c r="Q53" t="str">
        <f t="shared" si="2"/>
        <v>Reynolds, Mark - $20</v>
      </c>
    </row>
    <row r="54" spans="1:17" x14ac:dyDescent="0.35">
      <c r="A54">
        <v>6</v>
      </c>
      <c r="B54" t="s">
        <v>39</v>
      </c>
      <c r="C54" t="s">
        <v>257</v>
      </c>
      <c r="D54">
        <v>20</v>
      </c>
      <c r="E54">
        <v>4.4000000000000004</v>
      </c>
      <c r="F54">
        <v>2.2000000000000002</v>
      </c>
      <c r="G54">
        <v>3.7</v>
      </c>
      <c r="H54">
        <v>0.8</v>
      </c>
      <c r="I54" s="3">
        <v>0</v>
      </c>
      <c r="J54">
        <f t="shared" si="3"/>
        <v>0</v>
      </c>
      <c r="K54">
        <f t="shared" si="3"/>
        <v>0</v>
      </c>
      <c r="L54">
        <f t="shared" si="3"/>
        <v>0</v>
      </c>
      <c r="M54">
        <f t="shared" si="3"/>
        <v>0</v>
      </c>
      <c r="N54">
        <f t="shared" si="3"/>
        <v>0</v>
      </c>
      <c r="O54">
        <f t="shared" si="3"/>
        <v>1</v>
      </c>
      <c r="P54">
        <f t="shared" si="3"/>
        <v>0</v>
      </c>
      <c r="Q54" t="str">
        <f t="shared" si="2"/>
        <v>Lindor, Francisco - $20</v>
      </c>
    </row>
    <row r="55" spans="1:17" x14ac:dyDescent="0.35">
      <c r="A55">
        <v>3</v>
      </c>
      <c r="B55" t="s">
        <v>179</v>
      </c>
      <c r="C55" t="s">
        <v>266</v>
      </c>
      <c r="D55">
        <v>20</v>
      </c>
      <c r="E55">
        <v>3.7</v>
      </c>
      <c r="F55">
        <v>1.86</v>
      </c>
      <c r="G55">
        <v>2.7</v>
      </c>
      <c r="H55">
        <v>2</v>
      </c>
      <c r="I55" s="3">
        <v>0</v>
      </c>
      <c r="J55">
        <f t="shared" si="3"/>
        <v>0</v>
      </c>
      <c r="K55">
        <f t="shared" si="3"/>
        <v>0</v>
      </c>
      <c r="L55">
        <f t="shared" si="3"/>
        <v>1</v>
      </c>
      <c r="M55">
        <f t="shared" si="3"/>
        <v>0</v>
      </c>
      <c r="N55">
        <f t="shared" si="3"/>
        <v>0</v>
      </c>
      <c r="O55">
        <f t="shared" si="3"/>
        <v>0</v>
      </c>
      <c r="P55">
        <f t="shared" si="3"/>
        <v>0</v>
      </c>
      <c r="Q55" t="str">
        <f t="shared" si="2"/>
        <v>Myers, Wil - $20</v>
      </c>
    </row>
    <row r="56" spans="1:17" x14ac:dyDescent="0.35">
      <c r="A56">
        <v>4</v>
      </c>
      <c r="B56" t="s">
        <v>267</v>
      </c>
      <c r="C56" t="s">
        <v>268</v>
      </c>
      <c r="D56">
        <v>20</v>
      </c>
      <c r="E56">
        <v>4.4000000000000004</v>
      </c>
      <c r="F56">
        <v>2.1800000000000002</v>
      </c>
      <c r="G56">
        <v>4.5</v>
      </c>
      <c r="H56">
        <v>8.8000000000000007</v>
      </c>
      <c r="I56" s="3">
        <v>0</v>
      </c>
      <c r="J56">
        <f t="shared" si="3"/>
        <v>0</v>
      </c>
      <c r="K56">
        <f t="shared" si="3"/>
        <v>0</v>
      </c>
      <c r="L56">
        <f t="shared" si="3"/>
        <v>0</v>
      </c>
      <c r="M56">
        <f t="shared" si="3"/>
        <v>1</v>
      </c>
      <c r="N56">
        <f t="shared" si="3"/>
        <v>0</v>
      </c>
      <c r="O56">
        <f t="shared" si="3"/>
        <v>0</v>
      </c>
      <c r="P56">
        <f t="shared" si="3"/>
        <v>0</v>
      </c>
      <c r="Q56" t="str">
        <f t="shared" si="2"/>
        <v>Hernandez, Cesar - $20</v>
      </c>
    </row>
    <row r="57" spans="1:17" x14ac:dyDescent="0.35">
      <c r="A57">
        <v>6</v>
      </c>
      <c r="B57" t="s">
        <v>119</v>
      </c>
      <c r="C57" t="s">
        <v>294</v>
      </c>
      <c r="D57">
        <v>20</v>
      </c>
      <c r="E57">
        <v>3.9</v>
      </c>
      <c r="F57">
        <v>1.96</v>
      </c>
      <c r="G57">
        <v>4.0999999999999996</v>
      </c>
      <c r="H57">
        <v>2.8</v>
      </c>
      <c r="I57" s="3">
        <v>0</v>
      </c>
      <c r="J57">
        <f t="shared" si="3"/>
        <v>0</v>
      </c>
      <c r="K57">
        <f t="shared" si="3"/>
        <v>0</v>
      </c>
      <c r="L57">
        <f t="shared" si="3"/>
        <v>0</v>
      </c>
      <c r="M57">
        <f t="shared" si="3"/>
        <v>0</v>
      </c>
      <c r="N57">
        <f t="shared" si="3"/>
        <v>0</v>
      </c>
      <c r="O57">
        <f t="shared" si="3"/>
        <v>1</v>
      </c>
      <c r="P57">
        <f t="shared" si="3"/>
        <v>0</v>
      </c>
      <c r="Q57" t="str">
        <f t="shared" si="2"/>
        <v>Russell, Addison - $20</v>
      </c>
    </row>
    <row r="58" spans="1:17" x14ac:dyDescent="0.35">
      <c r="A58">
        <v>5</v>
      </c>
      <c r="B58" t="s">
        <v>115</v>
      </c>
      <c r="C58" t="s">
        <v>278</v>
      </c>
      <c r="D58">
        <v>20</v>
      </c>
      <c r="E58">
        <v>3.9</v>
      </c>
      <c r="F58">
        <v>1.93</v>
      </c>
      <c r="G58">
        <v>2.9</v>
      </c>
      <c r="H58">
        <v>11.2</v>
      </c>
      <c r="I58" s="3">
        <v>0</v>
      </c>
      <c r="J58">
        <f t="shared" si="3"/>
        <v>0</v>
      </c>
      <c r="K58">
        <f t="shared" si="3"/>
        <v>0</v>
      </c>
      <c r="L58">
        <f t="shared" si="3"/>
        <v>0</v>
      </c>
      <c r="M58">
        <f t="shared" si="3"/>
        <v>0</v>
      </c>
      <c r="N58">
        <f t="shared" si="3"/>
        <v>1</v>
      </c>
      <c r="O58">
        <f t="shared" si="3"/>
        <v>0</v>
      </c>
      <c r="P58">
        <f t="shared" si="3"/>
        <v>0</v>
      </c>
      <c r="Q58" t="str">
        <f t="shared" si="2"/>
        <v>Sano, Miguel - $20</v>
      </c>
    </row>
    <row r="59" spans="1:17" x14ac:dyDescent="0.35">
      <c r="A59">
        <v>6</v>
      </c>
      <c r="B59" t="s">
        <v>18</v>
      </c>
      <c r="C59" t="s">
        <v>265</v>
      </c>
      <c r="D59">
        <v>20</v>
      </c>
      <c r="E59">
        <v>3.7</v>
      </c>
      <c r="F59">
        <v>1.83</v>
      </c>
      <c r="G59">
        <v>3.3</v>
      </c>
      <c r="H59">
        <v>5.2</v>
      </c>
      <c r="I59" s="3">
        <v>0</v>
      </c>
      <c r="J59">
        <f t="shared" si="3"/>
        <v>0</v>
      </c>
      <c r="K59">
        <f t="shared" si="3"/>
        <v>0</v>
      </c>
      <c r="L59">
        <f t="shared" si="3"/>
        <v>0</v>
      </c>
      <c r="M59">
        <f t="shared" si="3"/>
        <v>0</v>
      </c>
      <c r="N59">
        <f t="shared" si="3"/>
        <v>0</v>
      </c>
      <c r="O59">
        <f t="shared" si="3"/>
        <v>1</v>
      </c>
      <c r="P59">
        <f t="shared" si="3"/>
        <v>0</v>
      </c>
      <c r="Q59" t="str">
        <f t="shared" si="2"/>
        <v>Seager, Corey - $20</v>
      </c>
    </row>
    <row r="60" spans="1:17" x14ac:dyDescent="0.35">
      <c r="A60">
        <v>4</v>
      </c>
      <c r="B60" t="s">
        <v>192</v>
      </c>
      <c r="C60" t="s">
        <v>261</v>
      </c>
      <c r="D60">
        <v>20</v>
      </c>
      <c r="E60">
        <v>3.6</v>
      </c>
      <c r="F60">
        <v>1.8</v>
      </c>
      <c r="G60">
        <v>3.9</v>
      </c>
      <c r="H60">
        <v>3.2</v>
      </c>
      <c r="I60" s="3">
        <v>0</v>
      </c>
      <c r="J60">
        <f t="shared" si="3"/>
        <v>0</v>
      </c>
      <c r="K60">
        <f t="shared" si="3"/>
        <v>0</v>
      </c>
      <c r="L60">
        <f t="shared" si="3"/>
        <v>0</v>
      </c>
      <c r="M60">
        <f t="shared" si="3"/>
        <v>1</v>
      </c>
      <c r="N60">
        <f t="shared" si="3"/>
        <v>0</v>
      </c>
      <c r="O60">
        <f t="shared" si="3"/>
        <v>0</v>
      </c>
      <c r="P60">
        <f t="shared" si="3"/>
        <v>0</v>
      </c>
      <c r="Q60" t="str">
        <f t="shared" si="2"/>
        <v>Cano, Robinson - $20</v>
      </c>
    </row>
    <row r="61" spans="1:17" x14ac:dyDescent="0.35">
      <c r="A61">
        <v>4</v>
      </c>
      <c r="B61" t="s">
        <v>189</v>
      </c>
      <c r="C61" t="s">
        <v>279</v>
      </c>
      <c r="D61">
        <v>20</v>
      </c>
      <c r="E61">
        <v>3.4</v>
      </c>
      <c r="F61">
        <v>1.71</v>
      </c>
      <c r="G61">
        <v>5.3</v>
      </c>
      <c r="H61">
        <v>-0.8</v>
      </c>
      <c r="I61" s="3">
        <v>0</v>
      </c>
      <c r="J61">
        <f t="shared" si="3"/>
        <v>0</v>
      </c>
      <c r="K61">
        <f t="shared" si="3"/>
        <v>0</v>
      </c>
      <c r="L61">
        <f t="shared" si="3"/>
        <v>0</v>
      </c>
      <c r="M61">
        <f t="shared" si="3"/>
        <v>1</v>
      </c>
      <c r="N61">
        <f t="shared" si="3"/>
        <v>0</v>
      </c>
      <c r="O61">
        <f t="shared" si="3"/>
        <v>0</v>
      </c>
      <c r="P61">
        <f t="shared" si="3"/>
        <v>0</v>
      </c>
      <c r="Q61" t="str">
        <f t="shared" si="2"/>
        <v>Altuve, Jose - $20</v>
      </c>
    </row>
    <row r="62" spans="1:17" x14ac:dyDescent="0.35">
      <c r="A62">
        <v>7</v>
      </c>
      <c r="B62" t="s">
        <v>154</v>
      </c>
      <c r="C62" t="s">
        <v>284</v>
      </c>
      <c r="D62">
        <v>20</v>
      </c>
      <c r="E62">
        <v>4.3</v>
      </c>
      <c r="F62">
        <v>2.13</v>
      </c>
      <c r="G62">
        <v>4.9000000000000004</v>
      </c>
      <c r="H62">
        <v>12.5</v>
      </c>
      <c r="I62" s="3">
        <v>0</v>
      </c>
      <c r="J62">
        <f t="shared" si="3"/>
        <v>0</v>
      </c>
      <c r="K62">
        <f t="shared" si="3"/>
        <v>0</v>
      </c>
      <c r="L62">
        <f t="shared" si="3"/>
        <v>0</v>
      </c>
      <c r="M62">
        <f t="shared" si="3"/>
        <v>0</v>
      </c>
      <c r="N62">
        <f t="shared" si="3"/>
        <v>0</v>
      </c>
      <c r="O62">
        <f t="shared" si="3"/>
        <v>0</v>
      </c>
      <c r="P62">
        <f t="shared" si="3"/>
        <v>1</v>
      </c>
      <c r="Q62" t="str">
        <f t="shared" si="2"/>
        <v>Betts, Mookie - $20</v>
      </c>
    </row>
    <row r="63" spans="1:17" x14ac:dyDescent="0.35">
      <c r="A63">
        <v>7</v>
      </c>
      <c r="B63" t="s">
        <v>322</v>
      </c>
      <c r="C63" t="s">
        <v>311</v>
      </c>
      <c r="D63">
        <v>20</v>
      </c>
      <c r="E63">
        <v>4.0999999999999996</v>
      </c>
      <c r="F63">
        <v>2.0299999999999998</v>
      </c>
      <c r="G63">
        <v>5.4</v>
      </c>
      <c r="H63">
        <v>12</v>
      </c>
      <c r="I63" s="3">
        <v>0</v>
      </c>
      <c r="J63">
        <f t="shared" si="3"/>
        <v>0</v>
      </c>
      <c r="K63">
        <f t="shared" si="3"/>
        <v>0</v>
      </c>
      <c r="L63">
        <f t="shared" si="3"/>
        <v>0</v>
      </c>
      <c r="M63">
        <f t="shared" si="3"/>
        <v>0</v>
      </c>
      <c r="N63">
        <f t="shared" si="3"/>
        <v>0</v>
      </c>
      <c r="O63">
        <f t="shared" si="3"/>
        <v>0</v>
      </c>
      <c r="P63">
        <f t="shared" si="3"/>
        <v>1</v>
      </c>
      <c r="Q63" t="str">
        <f t="shared" si="2"/>
        <v>Upton, Justin - $20</v>
      </c>
    </row>
    <row r="64" spans="1:17" x14ac:dyDescent="0.35">
      <c r="A64">
        <v>5</v>
      </c>
      <c r="B64" t="s">
        <v>212</v>
      </c>
      <c r="C64" t="s">
        <v>299</v>
      </c>
      <c r="D64">
        <v>20</v>
      </c>
      <c r="E64">
        <v>3.4</v>
      </c>
      <c r="F64">
        <v>1.68</v>
      </c>
      <c r="G64">
        <v>3.7</v>
      </c>
      <c r="H64">
        <v>4</v>
      </c>
      <c r="I64" s="3">
        <v>0</v>
      </c>
      <c r="J64">
        <f t="shared" si="3"/>
        <v>0</v>
      </c>
      <c r="K64">
        <f t="shared" si="3"/>
        <v>0</v>
      </c>
      <c r="L64">
        <f t="shared" si="3"/>
        <v>0</v>
      </c>
      <c r="M64">
        <f t="shared" si="3"/>
        <v>0</v>
      </c>
      <c r="N64">
        <f t="shared" si="3"/>
        <v>1</v>
      </c>
      <c r="O64">
        <f t="shared" si="3"/>
        <v>0</v>
      </c>
      <c r="P64">
        <f t="shared" si="3"/>
        <v>0</v>
      </c>
      <c r="Q64" t="str">
        <f t="shared" si="2"/>
        <v>Gyorko, Jedd - $20</v>
      </c>
    </row>
    <row r="65" spans="1:17" x14ac:dyDescent="0.35">
      <c r="A65">
        <v>7</v>
      </c>
      <c r="B65" t="s">
        <v>404</v>
      </c>
      <c r="C65" t="s">
        <v>264</v>
      </c>
      <c r="D65">
        <v>20</v>
      </c>
      <c r="E65">
        <v>4</v>
      </c>
      <c r="F65">
        <v>2.02</v>
      </c>
      <c r="G65">
        <v>1.7</v>
      </c>
      <c r="H65">
        <v>9.5</v>
      </c>
      <c r="I65" s="3">
        <v>0</v>
      </c>
      <c r="J65">
        <f t="shared" si="3"/>
        <v>0</v>
      </c>
      <c r="K65">
        <f t="shared" si="3"/>
        <v>0</v>
      </c>
      <c r="L65">
        <f t="shared" si="3"/>
        <v>0</v>
      </c>
      <c r="M65">
        <f t="shared" si="3"/>
        <v>0</v>
      </c>
      <c r="N65">
        <f t="shared" si="3"/>
        <v>0</v>
      </c>
      <c r="O65">
        <f t="shared" si="3"/>
        <v>0</v>
      </c>
      <c r="P65">
        <f t="shared" si="3"/>
        <v>1</v>
      </c>
      <c r="Q65" t="str">
        <f t="shared" si="2"/>
        <v>Kemp, Matt - $20</v>
      </c>
    </row>
    <row r="66" spans="1:17" x14ac:dyDescent="0.35">
      <c r="A66">
        <v>7</v>
      </c>
      <c r="B66" t="s">
        <v>194</v>
      </c>
      <c r="C66" t="s">
        <v>272</v>
      </c>
      <c r="D66">
        <v>19</v>
      </c>
      <c r="E66">
        <v>4</v>
      </c>
      <c r="F66">
        <v>2.11</v>
      </c>
      <c r="G66">
        <v>4.2</v>
      </c>
      <c r="H66">
        <v>12.2</v>
      </c>
      <c r="I66" s="3">
        <v>0</v>
      </c>
      <c r="J66">
        <f t="shared" si="3"/>
        <v>0</v>
      </c>
      <c r="K66">
        <f t="shared" si="3"/>
        <v>0</v>
      </c>
      <c r="L66">
        <f t="shared" si="3"/>
        <v>0</v>
      </c>
      <c r="M66">
        <f t="shared" si="3"/>
        <v>0</v>
      </c>
      <c r="N66">
        <f t="shared" si="3"/>
        <v>0</v>
      </c>
      <c r="O66">
        <f t="shared" si="3"/>
        <v>0</v>
      </c>
      <c r="P66">
        <f t="shared" si="3"/>
        <v>1</v>
      </c>
      <c r="Q66" t="str">
        <f t="shared" si="2"/>
        <v>Pollock, A.J. - $19</v>
      </c>
    </row>
    <row r="67" spans="1:17" x14ac:dyDescent="0.35">
      <c r="A67">
        <v>7</v>
      </c>
      <c r="B67" t="s">
        <v>117</v>
      </c>
      <c r="C67" t="s">
        <v>258</v>
      </c>
      <c r="D67">
        <v>19</v>
      </c>
      <c r="E67">
        <v>4.3</v>
      </c>
      <c r="F67">
        <v>2.29</v>
      </c>
      <c r="G67">
        <v>5.2</v>
      </c>
      <c r="H67">
        <v>7.2</v>
      </c>
      <c r="I67" s="3">
        <v>0</v>
      </c>
      <c r="J67">
        <f t="shared" ref="J67:P98" si="4">IFERROR(IF(SEARCH(J$1,$A67)=1,1,0),0)</f>
        <v>0</v>
      </c>
      <c r="K67">
        <f t="shared" si="4"/>
        <v>0</v>
      </c>
      <c r="L67">
        <f t="shared" si="4"/>
        <v>0</v>
      </c>
      <c r="M67">
        <f t="shared" si="4"/>
        <v>0</v>
      </c>
      <c r="N67">
        <f t="shared" si="4"/>
        <v>0</v>
      </c>
      <c r="O67">
        <f t="shared" si="4"/>
        <v>0</v>
      </c>
      <c r="P67">
        <f t="shared" si="4"/>
        <v>1</v>
      </c>
      <c r="Q67" t="str">
        <f t="shared" ref="Q67:Q130" si="5">B67&amp;" - $"&amp;D67</f>
        <v>Yelich, Christian - $19</v>
      </c>
    </row>
    <row r="68" spans="1:17" x14ac:dyDescent="0.35">
      <c r="A68">
        <v>7</v>
      </c>
      <c r="B68" t="s">
        <v>146</v>
      </c>
      <c r="C68" t="s">
        <v>258</v>
      </c>
      <c r="D68">
        <v>19</v>
      </c>
      <c r="E68">
        <v>4.0999999999999996</v>
      </c>
      <c r="F68">
        <v>2.16</v>
      </c>
      <c r="G68">
        <v>5.3</v>
      </c>
      <c r="H68">
        <v>5.2</v>
      </c>
      <c r="I68" s="3">
        <v>0</v>
      </c>
      <c r="J68">
        <f t="shared" si="4"/>
        <v>0</v>
      </c>
      <c r="K68">
        <f t="shared" si="4"/>
        <v>0</v>
      </c>
      <c r="L68">
        <f t="shared" si="4"/>
        <v>0</v>
      </c>
      <c r="M68">
        <f t="shared" si="4"/>
        <v>0</v>
      </c>
      <c r="N68">
        <f t="shared" si="4"/>
        <v>0</v>
      </c>
      <c r="O68">
        <f t="shared" si="4"/>
        <v>0</v>
      </c>
      <c r="P68">
        <f t="shared" si="4"/>
        <v>1</v>
      </c>
      <c r="Q68" t="str">
        <f t="shared" si="5"/>
        <v>Stanton, Giancarlo - $19</v>
      </c>
    </row>
    <row r="69" spans="1:17" x14ac:dyDescent="0.35">
      <c r="A69">
        <v>7</v>
      </c>
      <c r="B69" t="s">
        <v>293</v>
      </c>
      <c r="C69" t="s">
        <v>263</v>
      </c>
      <c r="D69">
        <v>19</v>
      </c>
      <c r="E69">
        <v>3.5</v>
      </c>
      <c r="F69">
        <v>1.87</v>
      </c>
      <c r="G69">
        <v>3</v>
      </c>
      <c r="H69">
        <v>7</v>
      </c>
      <c r="I69" s="3">
        <v>0</v>
      </c>
      <c r="J69">
        <f t="shared" si="4"/>
        <v>0</v>
      </c>
      <c r="K69">
        <f t="shared" si="4"/>
        <v>0</v>
      </c>
      <c r="L69">
        <f t="shared" si="4"/>
        <v>0</v>
      </c>
      <c r="M69">
        <f t="shared" si="4"/>
        <v>0</v>
      </c>
      <c r="N69">
        <f t="shared" si="4"/>
        <v>0</v>
      </c>
      <c r="O69">
        <f t="shared" si="4"/>
        <v>0</v>
      </c>
      <c r="P69">
        <f t="shared" si="4"/>
        <v>1</v>
      </c>
      <c r="Q69" t="str">
        <f t="shared" si="5"/>
        <v>Duvall, Adam - $19</v>
      </c>
    </row>
    <row r="70" spans="1:17" x14ac:dyDescent="0.35">
      <c r="A70">
        <v>7</v>
      </c>
      <c r="B70" t="s">
        <v>180</v>
      </c>
      <c r="C70" t="s">
        <v>279</v>
      </c>
      <c r="D70">
        <v>19</v>
      </c>
      <c r="E70">
        <v>3.4</v>
      </c>
      <c r="F70">
        <v>1.81</v>
      </c>
      <c r="G70">
        <v>2.8</v>
      </c>
      <c r="H70">
        <v>0</v>
      </c>
      <c r="I70" s="3">
        <v>0</v>
      </c>
      <c r="J70">
        <f t="shared" si="4"/>
        <v>0</v>
      </c>
      <c r="K70">
        <f t="shared" si="4"/>
        <v>0</v>
      </c>
      <c r="L70">
        <f t="shared" si="4"/>
        <v>0</v>
      </c>
      <c r="M70">
        <f t="shared" si="4"/>
        <v>0</v>
      </c>
      <c r="N70">
        <f t="shared" si="4"/>
        <v>0</v>
      </c>
      <c r="O70">
        <f t="shared" si="4"/>
        <v>0</v>
      </c>
      <c r="P70">
        <f t="shared" si="4"/>
        <v>1</v>
      </c>
      <c r="Q70" t="str">
        <f t="shared" si="5"/>
        <v>Springer, George - $19</v>
      </c>
    </row>
    <row r="71" spans="1:17" x14ac:dyDescent="0.35">
      <c r="A71">
        <v>7</v>
      </c>
      <c r="B71" t="s">
        <v>309</v>
      </c>
      <c r="C71" t="s">
        <v>291</v>
      </c>
      <c r="D71">
        <v>19</v>
      </c>
      <c r="E71">
        <v>2.7</v>
      </c>
      <c r="F71">
        <v>1.41</v>
      </c>
      <c r="G71">
        <v>2.8</v>
      </c>
      <c r="H71">
        <v>1.5</v>
      </c>
      <c r="I71" s="3">
        <v>0</v>
      </c>
      <c r="J71">
        <f t="shared" si="4"/>
        <v>0</v>
      </c>
      <c r="K71">
        <f t="shared" si="4"/>
        <v>0</v>
      </c>
      <c r="L71">
        <f t="shared" si="4"/>
        <v>0</v>
      </c>
      <c r="M71">
        <f t="shared" si="4"/>
        <v>0</v>
      </c>
      <c r="N71">
        <f t="shared" si="4"/>
        <v>0</v>
      </c>
      <c r="O71">
        <f t="shared" si="4"/>
        <v>0</v>
      </c>
      <c r="P71">
        <f t="shared" si="4"/>
        <v>1</v>
      </c>
      <c r="Q71" t="str">
        <f t="shared" si="5"/>
        <v>Cain, Lorenzo - $19</v>
      </c>
    </row>
    <row r="72" spans="1:17" x14ac:dyDescent="0.35">
      <c r="A72">
        <v>7</v>
      </c>
      <c r="B72" t="s">
        <v>321</v>
      </c>
      <c r="C72" t="s">
        <v>260</v>
      </c>
      <c r="D72">
        <v>19</v>
      </c>
      <c r="E72">
        <v>2.2000000000000002</v>
      </c>
      <c r="F72">
        <v>1.18</v>
      </c>
      <c r="G72">
        <v>1</v>
      </c>
      <c r="H72">
        <v>-0.8</v>
      </c>
      <c r="I72" s="3">
        <v>0</v>
      </c>
      <c r="J72">
        <f t="shared" si="4"/>
        <v>0</v>
      </c>
      <c r="K72">
        <f t="shared" si="4"/>
        <v>0</v>
      </c>
      <c r="L72">
        <f t="shared" si="4"/>
        <v>0</v>
      </c>
      <c r="M72">
        <f t="shared" si="4"/>
        <v>0</v>
      </c>
      <c r="N72">
        <f t="shared" si="4"/>
        <v>0</v>
      </c>
      <c r="O72">
        <f t="shared" si="4"/>
        <v>0</v>
      </c>
      <c r="P72">
        <f t="shared" si="4"/>
        <v>1</v>
      </c>
      <c r="Q72" t="str">
        <f t="shared" si="5"/>
        <v>Werth, Jayson - $19</v>
      </c>
    </row>
    <row r="73" spans="1:17" x14ac:dyDescent="0.35">
      <c r="A73">
        <v>5</v>
      </c>
      <c r="B73" t="s">
        <v>181</v>
      </c>
      <c r="C73" t="s">
        <v>272</v>
      </c>
      <c r="D73">
        <v>18</v>
      </c>
      <c r="E73">
        <v>4</v>
      </c>
      <c r="F73">
        <v>2.25</v>
      </c>
      <c r="G73">
        <v>4.2</v>
      </c>
      <c r="H73">
        <v>0.8</v>
      </c>
      <c r="I73" s="3">
        <v>0</v>
      </c>
      <c r="J73">
        <f t="shared" si="4"/>
        <v>0</v>
      </c>
      <c r="K73">
        <f t="shared" si="4"/>
        <v>0</v>
      </c>
      <c r="L73">
        <f t="shared" si="4"/>
        <v>0</v>
      </c>
      <c r="M73">
        <f t="shared" si="4"/>
        <v>0</v>
      </c>
      <c r="N73">
        <f t="shared" si="4"/>
        <v>1</v>
      </c>
      <c r="O73">
        <f t="shared" si="4"/>
        <v>0</v>
      </c>
      <c r="P73">
        <f t="shared" si="4"/>
        <v>0</v>
      </c>
      <c r="Q73" t="str">
        <f t="shared" si="5"/>
        <v>Lamb, Jake - $18</v>
      </c>
    </row>
    <row r="74" spans="1:17" x14ac:dyDescent="0.35">
      <c r="A74">
        <v>7</v>
      </c>
      <c r="B74" t="s">
        <v>281</v>
      </c>
      <c r="C74" t="s">
        <v>270</v>
      </c>
      <c r="D74">
        <v>18</v>
      </c>
      <c r="E74">
        <v>4.2</v>
      </c>
      <c r="F74">
        <v>2.36</v>
      </c>
      <c r="G74">
        <v>3</v>
      </c>
      <c r="H74">
        <v>0.2</v>
      </c>
      <c r="I74" s="3">
        <v>0</v>
      </c>
      <c r="J74">
        <f t="shared" si="4"/>
        <v>0</v>
      </c>
      <c r="K74">
        <f t="shared" si="4"/>
        <v>0</v>
      </c>
      <c r="L74">
        <f t="shared" si="4"/>
        <v>0</v>
      </c>
      <c r="M74">
        <f t="shared" si="4"/>
        <v>0</v>
      </c>
      <c r="N74">
        <f t="shared" si="4"/>
        <v>0</v>
      </c>
      <c r="O74">
        <f t="shared" si="4"/>
        <v>0</v>
      </c>
      <c r="P74">
        <f t="shared" si="4"/>
        <v>1</v>
      </c>
      <c r="Q74" t="str">
        <f t="shared" si="5"/>
        <v>Bruce, Jay - $18</v>
      </c>
    </row>
    <row r="75" spans="1:17" x14ac:dyDescent="0.35">
      <c r="A75">
        <v>3</v>
      </c>
      <c r="B75" t="s">
        <v>22</v>
      </c>
      <c r="C75" t="s">
        <v>257</v>
      </c>
      <c r="D75">
        <v>18</v>
      </c>
      <c r="E75">
        <v>3.7</v>
      </c>
      <c r="F75">
        <v>2.04</v>
      </c>
      <c r="G75">
        <v>3.1</v>
      </c>
      <c r="H75">
        <v>1.8</v>
      </c>
      <c r="I75" s="3">
        <v>0</v>
      </c>
      <c r="J75">
        <f t="shared" si="4"/>
        <v>0</v>
      </c>
      <c r="K75">
        <f t="shared" si="4"/>
        <v>0</v>
      </c>
      <c r="L75">
        <f t="shared" si="4"/>
        <v>1</v>
      </c>
      <c r="M75">
        <f t="shared" si="4"/>
        <v>0</v>
      </c>
      <c r="N75">
        <f t="shared" si="4"/>
        <v>0</v>
      </c>
      <c r="O75">
        <f t="shared" si="4"/>
        <v>0</v>
      </c>
      <c r="P75">
        <f t="shared" si="4"/>
        <v>0</v>
      </c>
      <c r="Q75" t="str">
        <f t="shared" si="5"/>
        <v>Santana, Carlos - $18</v>
      </c>
    </row>
    <row r="76" spans="1:17" x14ac:dyDescent="0.35">
      <c r="A76">
        <v>7</v>
      </c>
      <c r="B76" t="s">
        <v>45</v>
      </c>
      <c r="C76" t="s">
        <v>257</v>
      </c>
      <c r="D76">
        <v>18</v>
      </c>
      <c r="E76">
        <v>4.0999999999999996</v>
      </c>
      <c r="F76">
        <v>2.29</v>
      </c>
      <c r="G76">
        <v>5.3</v>
      </c>
      <c r="H76">
        <v>6.2</v>
      </c>
      <c r="I76" s="3">
        <v>0</v>
      </c>
      <c r="J76">
        <f t="shared" si="4"/>
        <v>0</v>
      </c>
      <c r="K76">
        <f t="shared" si="4"/>
        <v>0</v>
      </c>
      <c r="L76">
        <f t="shared" si="4"/>
        <v>0</v>
      </c>
      <c r="M76">
        <f t="shared" si="4"/>
        <v>0</v>
      </c>
      <c r="N76">
        <f t="shared" si="4"/>
        <v>0</v>
      </c>
      <c r="O76">
        <f t="shared" si="4"/>
        <v>0</v>
      </c>
      <c r="P76">
        <f t="shared" si="4"/>
        <v>1</v>
      </c>
      <c r="Q76" t="str">
        <f t="shared" si="5"/>
        <v>Brantley, Michael - $18</v>
      </c>
    </row>
    <row r="77" spans="1:17" x14ac:dyDescent="0.35">
      <c r="A77">
        <v>3</v>
      </c>
      <c r="B77" t="s">
        <v>285</v>
      </c>
      <c r="C77" t="s">
        <v>286</v>
      </c>
      <c r="D77">
        <v>18</v>
      </c>
      <c r="E77">
        <v>3.1</v>
      </c>
      <c r="F77">
        <v>1.75</v>
      </c>
      <c r="G77">
        <v>1.9</v>
      </c>
      <c r="H77">
        <v>-0.8</v>
      </c>
      <c r="I77" s="3">
        <v>0</v>
      </c>
      <c r="J77">
        <f t="shared" si="4"/>
        <v>0</v>
      </c>
      <c r="K77">
        <f t="shared" si="4"/>
        <v>0</v>
      </c>
      <c r="L77">
        <f t="shared" si="4"/>
        <v>1</v>
      </c>
      <c r="M77">
        <f t="shared" si="4"/>
        <v>0</v>
      </c>
      <c r="N77">
        <f t="shared" si="4"/>
        <v>0</v>
      </c>
      <c r="O77">
        <f t="shared" si="4"/>
        <v>0</v>
      </c>
      <c r="P77">
        <f t="shared" si="4"/>
        <v>0</v>
      </c>
      <c r="Q77" t="str">
        <f t="shared" si="5"/>
        <v>Belt, Brandon - $18</v>
      </c>
    </row>
    <row r="78" spans="1:17" x14ac:dyDescent="0.35">
      <c r="A78">
        <v>6</v>
      </c>
      <c r="B78" t="s">
        <v>29</v>
      </c>
      <c r="C78" t="s">
        <v>256</v>
      </c>
      <c r="D78">
        <v>18</v>
      </c>
      <c r="E78">
        <v>3.1</v>
      </c>
      <c r="F78">
        <v>1.71</v>
      </c>
      <c r="G78">
        <v>3.1</v>
      </c>
      <c r="H78">
        <v>-0.8</v>
      </c>
      <c r="I78" s="3">
        <v>0</v>
      </c>
      <c r="J78">
        <f t="shared" si="4"/>
        <v>0</v>
      </c>
      <c r="K78">
        <f t="shared" si="4"/>
        <v>0</v>
      </c>
      <c r="L78">
        <f t="shared" si="4"/>
        <v>0</v>
      </c>
      <c r="M78">
        <f t="shared" si="4"/>
        <v>0</v>
      </c>
      <c r="N78">
        <f t="shared" si="4"/>
        <v>0</v>
      </c>
      <c r="O78">
        <f t="shared" si="4"/>
        <v>1</v>
      </c>
      <c r="P78">
        <f t="shared" si="4"/>
        <v>0</v>
      </c>
      <c r="Q78" t="str">
        <f t="shared" si="5"/>
        <v>Andrus, Elvis - $18</v>
      </c>
    </row>
    <row r="79" spans="1:17" x14ac:dyDescent="0.35">
      <c r="A79">
        <v>5</v>
      </c>
      <c r="B79" t="s">
        <v>16</v>
      </c>
      <c r="C79" t="s">
        <v>265</v>
      </c>
      <c r="D79">
        <v>18</v>
      </c>
      <c r="E79">
        <v>3.1</v>
      </c>
      <c r="F79">
        <v>1.71</v>
      </c>
      <c r="G79">
        <v>2.7</v>
      </c>
      <c r="H79">
        <v>3.5</v>
      </c>
      <c r="I79" s="3">
        <v>0</v>
      </c>
      <c r="J79">
        <f t="shared" si="4"/>
        <v>0</v>
      </c>
      <c r="K79">
        <f t="shared" si="4"/>
        <v>0</v>
      </c>
      <c r="L79">
        <f t="shared" si="4"/>
        <v>0</v>
      </c>
      <c r="M79">
        <f t="shared" si="4"/>
        <v>0</v>
      </c>
      <c r="N79">
        <f t="shared" si="4"/>
        <v>1</v>
      </c>
      <c r="O79">
        <f t="shared" si="4"/>
        <v>0</v>
      </c>
      <c r="P79">
        <f t="shared" si="4"/>
        <v>0</v>
      </c>
      <c r="Q79" t="str">
        <f t="shared" si="5"/>
        <v>Turner, Justin - $18</v>
      </c>
    </row>
    <row r="80" spans="1:17" x14ac:dyDescent="0.35">
      <c r="A80">
        <v>6</v>
      </c>
      <c r="B80" t="s">
        <v>188</v>
      </c>
      <c r="C80" t="s">
        <v>299</v>
      </c>
      <c r="D80">
        <v>18</v>
      </c>
      <c r="E80">
        <v>3</v>
      </c>
      <c r="F80">
        <v>1.65</v>
      </c>
      <c r="G80">
        <v>2.1</v>
      </c>
      <c r="H80">
        <v>-0.8</v>
      </c>
      <c r="I80" s="3">
        <v>0</v>
      </c>
      <c r="J80">
        <f t="shared" si="4"/>
        <v>0</v>
      </c>
      <c r="K80">
        <f t="shared" si="4"/>
        <v>0</v>
      </c>
      <c r="L80">
        <f t="shared" si="4"/>
        <v>0</v>
      </c>
      <c r="M80">
        <f t="shared" si="4"/>
        <v>0</v>
      </c>
      <c r="N80">
        <f t="shared" si="4"/>
        <v>0</v>
      </c>
      <c r="O80">
        <f t="shared" si="4"/>
        <v>1</v>
      </c>
      <c r="P80">
        <f t="shared" si="4"/>
        <v>0</v>
      </c>
      <c r="Q80" t="str">
        <f t="shared" si="5"/>
        <v>Diaz, Aledmys - $18</v>
      </c>
    </row>
    <row r="81" spans="1:17" x14ac:dyDescent="0.35">
      <c r="A81">
        <v>4</v>
      </c>
      <c r="B81" t="s">
        <v>312</v>
      </c>
      <c r="C81" t="s">
        <v>277</v>
      </c>
      <c r="D81">
        <v>18</v>
      </c>
      <c r="E81">
        <v>2.6</v>
      </c>
      <c r="F81">
        <v>1.44</v>
      </c>
      <c r="G81">
        <v>2.7</v>
      </c>
      <c r="H81">
        <v>9.1999999999999993</v>
      </c>
      <c r="I81" s="3">
        <v>0</v>
      </c>
      <c r="J81">
        <f t="shared" si="4"/>
        <v>0</v>
      </c>
      <c r="K81">
        <f t="shared" si="4"/>
        <v>0</v>
      </c>
      <c r="L81">
        <f t="shared" si="4"/>
        <v>0</v>
      </c>
      <c r="M81">
        <f t="shared" si="4"/>
        <v>1</v>
      </c>
      <c r="N81">
        <f t="shared" si="4"/>
        <v>0</v>
      </c>
      <c r="O81">
        <f t="shared" si="4"/>
        <v>0</v>
      </c>
      <c r="P81">
        <f t="shared" si="4"/>
        <v>0</v>
      </c>
      <c r="Q81" t="str">
        <f t="shared" si="5"/>
        <v>LeMahieu, D.J. - $18</v>
      </c>
    </row>
    <row r="82" spans="1:17" x14ac:dyDescent="0.35">
      <c r="A82">
        <v>7</v>
      </c>
      <c r="B82" t="s">
        <v>41</v>
      </c>
      <c r="C82" t="s">
        <v>294</v>
      </c>
      <c r="D82">
        <v>18</v>
      </c>
      <c r="E82">
        <v>2.6</v>
      </c>
      <c r="F82">
        <v>1.44</v>
      </c>
      <c r="G82">
        <v>2</v>
      </c>
      <c r="H82">
        <v>-1.5</v>
      </c>
      <c r="I82" s="3">
        <v>0</v>
      </c>
      <c r="J82">
        <f t="shared" si="4"/>
        <v>0</v>
      </c>
      <c r="K82">
        <f t="shared" si="4"/>
        <v>0</v>
      </c>
      <c r="L82">
        <f t="shared" si="4"/>
        <v>0</v>
      </c>
      <c r="M82">
        <f t="shared" si="4"/>
        <v>0</v>
      </c>
      <c r="N82">
        <f t="shared" si="4"/>
        <v>0</v>
      </c>
      <c r="O82">
        <f t="shared" si="4"/>
        <v>0</v>
      </c>
      <c r="P82">
        <f t="shared" si="4"/>
        <v>1</v>
      </c>
      <c r="Q82" t="str">
        <f t="shared" si="5"/>
        <v>Schwarber, Kyle - $18</v>
      </c>
    </row>
    <row r="83" spans="1:17" x14ac:dyDescent="0.35">
      <c r="A83">
        <v>6</v>
      </c>
      <c r="B83" t="s">
        <v>406</v>
      </c>
      <c r="C83" t="s">
        <v>261</v>
      </c>
      <c r="D83">
        <v>18</v>
      </c>
      <c r="E83">
        <v>4.7</v>
      </c>
      <c r="F83">
        <v>2.61</v>
      </c>
      <c r="G83">
        <v>13.5</v>
      </c>
      <c r="H83">
        <v>13.5</v>
      </c>
      <c r="I83" s="3">
        <v>1</v>
      </c>
      <c r="J83">
        <f t="shared" si="4"/>
        <v>0</v>
      </c>
      <c r="K83">
        <f t="shared" si="4"/>
        <v>0</v>
      </c>
      <c r="L83">
        <f t="shared" si="4"/>
        <v>0</v>
      </c>
      <c r="M83">
        <f t="shared" si="4"/>
        <v>0</v>
      </c>
      <c r="N83">
        <f t="shared" si="4"/>
        <v>0</v>
      </c>
      <c r="O83">
        <f t="shared" si="4"/>
        <v>1</v>
      </c>
      <c r="P83">
        <f t="shared" si="4"/>
        <v>0</v>
      </c>
      <c r="Q83" t="str">
        <f t="shared" si="5"/>
        <v>Segura, Jean - $18</v>
      </c>
    </row>
    <row r="84" spans="1:17" x14ac:dyDescent="0.35">
      <c r="A84">
        <v>5</v>
      </c>
      <c r="B84" t="s">
        <v>21</v>
      </c>
      <c r="C84" t="s">
        <v>257</v>
      </c>
      <c r="D84">
        <v>17</v>
      </c>
      <c r="E84">
        <v>4.5</v>
      </c>
      <c r="F84">
        <v>2.65</v>
      </c>
      <c r="G84">
        <v>5.3</v>
      </c>
      <c r="H84">
        <v>3</v>
      </c>
      <c r="I84" s="3">
        <v>0</v>
      </c>
      <c r="J84">
        <f t="shared" si="4"/>
        <v>0</v>
      </c>
      <c r="K84">
        <f t="shared" si="4"/>
        <v>0</v>
      </c>
      <c r="L84">
        <f t="shared" si="4"/>
        <v>0</v>
      </c>
      <c r="M84">
        <f t="shared" si="4"/>
        <v>0</v>
      </c>
      <c r="N84">
        <f t="shared" si="4"/>
        <v>1</v>
      </c>
      <c r="O84">
        <f t="shared" si="4"/>
        <v>0</v>
      </c>
      <c r="P84">
        <f t="shared" si="4"/>
        <v>0</v>
      </c>
      <c r="Q84" t="str">
        <f t="shared" si="5"/>
        <v>Ramirez, Jose - $17</v>
      </c>
    </row>
    <row r="85" spans="1:17" x14ac:dyDescent="0.35">
      <c r="A85">
        <v>6</v>
      </c>
      <c r="B85" t="s">
        <v>292</v>
      </c>
      <c r="C85" t="s">
        <v>263</v>
      </c>
      <c r="D85">
        <v>17</v>
      </c>
      <c r="E85">
        <v>4</v>
      </c>
      <c r="F85">
        <v>2.37</v>
      </c>
      <c r="G85">
        <v>4.0999999999999996</v>
      </c>
      <c r="H85">
        <v>3.8</v>
      </c>
      <c r="I85" s="3">
        <v>0</v>
      </c>
      <c r="J85">
        <f t="shared" si="4"/>
        <v>0</v>
      </c>
      <c r="K85">
        <f t="shared" si="4"/>
        <v>0</v>
      </c>
      <c r="L85">
        <f t="shared" si="4"/>
        <v>0</v>
      </c>
      <c r="M85">
        <f t="shared" si="4"/>
        <v>0</v>
      </c>
      <c r="N85">
        <f t="shared" si="4"/>
        <v>0</v>
      </c>
      <c r="O85">
        <f t="shared" si="4"/>
        <v>1</v>
      </c>
      <c r="P85">
        <f t="shared" si="4"/>
        <v>0</v>
      </c>
      <c r="Q85" t="str">
        <f t="shared" si="5"/>
        <v>Cozart, Zack - $17</v>
      </c>
    </row>
    <row r="86" spans="1:17" x14ac:dyDescent="0.35">
      <c r="A86">
        <v>7</v>
      </c>
      <c r="B86" t="s">
        <v>89</v>
      </c>
      <c r="C86" t="s">
        <v>282</v>
      </c>
      <c r="D86">
        <v>17</v>
      </c>
      <c r="E86">
        <v>3.8</v>
      </c>
      <c r="F86">
        <v>2.21</v>
      </c>
      <c r="G86">
        <v>3.4</v>
      </c>
      <c r="H86">
        <v>8.5</v>
      </c>
      <c r="I86" s="3">
        <v>0</v>
      </c>
      <c r="J86">
        <f t="shared" si="4"/>
        <v>0</v>
      </c>
      <c r="K86">
        <f t="shared" si="4"/>
        <v>0</v>
      </c>
      <c r="L86">
        <f t="shared" si="4"/>
        <v>0</v>
      </c>
      <c r="M86">
        <f t="shared" si="4"/>
        <v>0</v>
      </c>
      <c r="N86">
        <f t="shared" si="4"/>
        <v>0</v>
      </c>
      <c r="O86">
        <f t="shared" si="4"/>
        <v>0</v>
      </c>
      <c r="P86">
        <f t="shared" si="4"/>
        <v>1</v>
      </c>
      <c r="Q86" t="str">
        <f t="shared" si="5"/>
        <v>Garcia, Avisail - $17</v>
      </c>
    </row>
    <row r="87" spans="1:17" x14ac:dyDescent="0.35">
      <c r="A87">
        <v>7</v>
      </c>
      <c r="B87" t="s">
        <v>201</v>
      </c>
      <c r="C87" t="s">
        <v>272</v>
      </c>
      <c r="D87">
        <v>17</v>
      </c>
      <c r="E87">
        <v>3.7</v>
      </c>
      <c r="F87">
        <v>2.16</v>
      </c>
      <c r="G87">
        <v>3.6</v>
      </c>
      <c r="H87">
        <v>5</v>
      </c>
      <c r="I87" s="3">
        <v>0</v>
      </c>
      <c r="J87">
        <f t="shared" si="4"/>
        <v>0</v>
      </c>
      <c r="K87">
        <f t="shared" si="4"/>
        <v>0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1</v>
      </c>
      <c r="Q87" t="str">
        <f t="shared" si="5"/>
        <v>Tomas, Yasmany - $17</v>
      </c>
    </row>
    <row r="88" spans="1:17" x14ac:dyDescent="0.35">
      <c r="A88">
        <v>7</v>
      </c>
      <c r="B88" t="s">
        <v>158</v>
      </c>
      <c r="C88" t="s">
        <v>308</v>
      </c>
      <c r="D88">
        <v>17</v>
      </c>
      <c r="E88">
        <v>2.8</v>
      </c>
      <c r="F88">
        <v>1.65</v>
      </c>
      <c r="G88">
        <v>3.8</v>
      </c>
      <c r="H88">
        <v>0.8</v>
      </c>
      <c r="I88" s="3"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0</v>
      </c>
      <c r="P88">
        <f t="shared" si="4"/>
        <v>1</v>
      </c>
      <c r="Q88" t="str">
        <f t="shared" si="5"/>
        <v>McCutchen, Andrew - $17</v>
      </c>
    </row>
    <row r="89" spans="1:17" x14ac:dyDescent="0.35">
      <c r="A89">
        <v>3</v>
      </c>
      <c r="B89" t="s">
        <v>20</v>
      </c>
      <c r="C89" t="s">
        <v>257</v>
      </c>
      <c r="D89">
        <v>17</v>
      </c>
      <c r="E89">
        <v>2</v>
      </c>
      <c r="F89">
        <v>1.18</v>
      </c>
      <c r="G89">
        <v>2.2000000000000002</v>
      </c>
      <c r="H89">
        <v>0</v>
      </c>
      <c r="I89" s="3">
        <v>0</v>
      </c>
      <c r="J89">
        <f t="shared" si="4"/>
        <v>0</v>
      </c>
      <c r="K89">
        <f t="shared" si="4"/>
        <v>0</v>
      </c>
      <c r="L89">
        <f t="shared" si="4"/>
        <v>1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 t="str">
        <f t="shared" si="5"/>
        <v>Encarnacion, Edwin - $17</v>
      </c>
    </row>
    <row r="90" spans="1:17" x14ac:dyDescent="0.35">
      <c r="A90">
        <v>7</v>
      </c>
      <c r="B90" t="s">
        <v>113</v>
      </c>
      <c r="C90" t="s">
        <v>258</v>
      </c>
      <c r="D90">
        <v>16</v>
      </c>
      <c r="E90">
        <v>4.2</v>
      </c>
      <c r="F90">
        <v>2.63</v>
      </c>
      <c r="G90">
        <v>4.4000000000000004</v>
      </c>
      <c r="H90">
        <v>4.2</v>
      </c>
      <c r="I90" s="3"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1</v>
      </c>
      <c r="Q90" t="str">
        <f t="shared" si="5"/>
        <v>Ozuna, Marcell - $16</v>
      </c>
    </row>
    <row r="91" spans="1:17" x14ac:dyDescent="0.35">
      <c r="A91">
        <v>5</v>
      </c>
      <c r="B91" t="s">
        <v>290</v>
      </c>
      <c r="C91" t="s">
        <v>291</v>
      </c>
      <c r="D91">
        <v>16</v>
      </c>
      <c r="E91">
        <v>3.8</v>
      </c>
      <c r="F91">
        <v>2.37</v>
      </c>
      <c r="G91">
        <v>4.0999999999999996</v>
      </c>
      <c r="H91">
        <v>9.8000000000000007</v>
      </c>
      <c r="I91" s="3">
        <v>0</v>
      </c>
      <c r="J91">
        <f t="shared" si="4"/>
        <v>0</v>
      </c>
      <c r="K91">
        <f t="shared" si="4"/>
        <v>0</v>
      </c>
      <c r="L91">
        <f t="shared" si="4"/>
        <v>0</v>
      </c>
      <c r="M91">
        <f t="shared" si="4"/>
        <v>0</v>
      </c>
      <c r="N91">
        <f t="shared" si="4"/>
        <v>1</v>
      </c>
      <c r="O91">
        <f t="shared" si="4"/>
        <v>0</v>
      </c>
      <c r="P91">
        <f t="shared" si="4"/>
        <v>0</v>
      </c>
      <c r="Q91" t="str">
        <f t="shared" si="5"/>
        <v>Moustakas, Mike - $16</v>
      </c>
    </row>
    <row r="92" spans="1:17" x14ac:dyDescent="0.35">
      <c r="A92">
        <v>7</v>
      </c>
      <c r="B92" t="s">
        <v>57</v>
      </c>
      <c r="C92" t="s">
        <v>283</v>
      </c>
      <c r="D92">
        <v>16</v>
      </c>
      <c r="E92">
        <v>3.4</v>
      </c>
      <c r="F92">
        <v>2.12</v>
      </c>
      <c r="G92">
        <v>3.8</v>
      </c>
      <c r="H92">
        <v>8.1999999999999993</v>
      </c>
      <c r="I92" s="3">
        <v>0</v>
      </c>
      <c r="J92">
        <f t="shared" si="4"/>
        <v>0</v>
      </c>
      <c r="K92">
        <f t="shared" si="4"/>
        <v>0</v>
      </c>
      <c r="L92">
        <f t="shared" si="4"/>
        <v>0</v>
      </c>
      <c r="M92">
        <f t="shared" si="4"/>
        <v>0</v>
      </c>
      <c r="N92">
        <f t="shared" si="4"/>
        <v>0</v>
      </c>
      <c r="O92">
        <f t="shared" si="4"/>
        <v>0</v>
      </c>
      <c r="P92">
        <f t="shared" si="4"/>
        <v>1</v>
      </c>
      <c r="Q92" t="str">
        <f t="shared" si="5"/>
        <v>Dickerson, Corey - $16</v>
      </c>
    </row>
    <row r="93" spans="1:17" x14ac:dyDescent="0.35">
      <c r="A93">
        <v>7</v>
      </c>
      <c r="B93" t="s">
        <v>121</v>
      </c>
      <c r="C93" t="s">
        <v>284</v>
      </c>
      <c r="D93">
        <v>16</v>
      </c>
      <c r="E93">
        <v>3.8</v>
      </c>
      <c r="F93">
        <v>2.34</v>
      </c>
      <c r="G93">
        <v>4</v>
      </c>
      <c r="H93">
        <v>8</v>
      </c>
      <c r="I93" s="3">
        <v>0</v>
      </c>
      <c r="J93">
        <f t="shared" si="4"/>
        <v>0</v>
      </c>
      <c r="K93">
        <f t="shared" si="4"/>
        <v>0</v>
      </c>
      <c r="L93">
        <f t="shared" si="4"/>
        <v>0</v>
      </c>
      <c r="M93">
        <f t="shared" si="4"/>
        <v>0</v>
      </c>
      <c r="N93">
        <f t="shared" si="4"/>
        <v>0</v>
      </c>
      <c r="O93">
        <f t="shared" si="4"/>
        <v>0</v>
      </c>
      <c r="P93">
        <f t="shared" si="4"/>
        <v>1</v>
      </c>
      <c r="Q93" t="str">
        <f t="shared" si="5"/>
        <v>Benintendi, Andrew - $16</v>
      </c>
    </row>
    <row r="94" spans="1:17" x14ac:dyDescent="0.35">
      <c r="A94">
        <v>4</v>
      </c>
      <c r="B94" t="s">
        <v>318</v>
      </c>
      <c r="C94" t="s">
        <v>311</v>
      </c>
      <c r="D94">
        <v>16</v>
      </c>
      <c r="E94">
        <v>3.7</v>
      </c>
      <c r="F94">
        <v>2.3199999999999998</v>
      </c>
      <c r="G94">
        <v>3.1</v>
      </c>
      <c r="H94">
        <v>14</v>
      </c>
      <c r="I94" s="3">
        <v>0</v>
      </c>
      <c r="J94">
        <f t="shared" si="4"/>
        <v>0</v>
      </c>
      <c r="K94">
        <f t="shared" si="4"/>
        <v>0</v>
      </c>
      <c r="L94">
        <f t="shared" si="4"/>
        <v>0</v>
      </c>
      <c r="M94">
        <f t="shared" si="4"/>
        <v>1</v>
      </c>
      <c r="N94">
        <f t="shared" si="4"/>
        <v>0</v>
      </c>
      <c r="O94">
        <f t="shared" si="4"/>
        <v>0</v>
      </c>
      <c r="P94">
        <f t="shared" si="4"/>
        <v>0</v>
      </c>
      <c r="Q94" t="str">
        <f t="shared" si="5"/>
        <v>Kinsler, Ian - $16</v>
      </c>
    </row>
    <row r="95" spans="1:17" x14ac:dyDescent="0.35">
      <c r="A95">
        <v>4</v>
      </c>
      <c r="B95" t="s">
        <v>126</v>
      </c>
      <c r="C95" t="s">
        <v>278</v>
      </c>
      <c r="D95">
        <v>16</v>
      </c>
      <c r="E95">
        <v>3.2</v>
      </c>
      <c r="F95">
        <v>1.98</v>
      </c>
      <c r="G95">
        <v>3.2</v>
      </c>
      <c r="H95">
        <v>2</v>
      </c>
      <c r="I95" s="3">
        <v>0</v>
      </c>
      <c r="J95">
        <f t="shared" si="4"/>
        <v>0</v>
      </c>
      <c r="K95">
        <f t="shared" si="4"/>
        <v>0</v>
      </c>
      <c r="L95">
        <f t="shared" si="4"/>
        <v>0</v>
      </c>
      <c r="M95">
        <f t="shared" si="4"/>
        <v>1</v>
      </c>
      <c r="N95">
        <f t="shared" si="4"/>
        <v>0</v>
      </c>
      <c r="O95">
        <f t="shared" si="4"/>
        <v>0</v>
      </c>
      <c r="P95">
        <f t="shared" si="4"/>
        <v>0</v>
      </c>
      <c r="Q95" t="str">
        <f t="shared" si="5"/>
        <v>Dozier, Brian - $16</v>
      </c>
    </row>
    <row r="96" spans="1:17" x14ac:dyDescent="0.35">
      <c r="A96">
        <v>7</v>
      </c>
      <c r="B96" t="s">
        <v>186</v>
      </c>
      <c r="C96" t="s">
        <v>266</v>
      </c>
      <c r="D96">
        <v>16</v>
      </c>
      <c r="E96">
        <v>2.7</v>
      </c>
      <c r="F96">
        <v>1.71</v>
      </c>
      <c r="G96">
        <v>2</v>
      </c>
      <c r="H96">
        <v>-0.5</v>
      </c>
      <c r="I96" s="3">
        <v>0</v>
      </c>
      <c r="J96">
        <f t="shared" si="4"/>
        <v>0</v>
      </c>
      <c r="K96">
        <f t="shared" si="4"/>
        <v>0</v>
      </c>
      <c r="L96">
        <f t="shared" si="4"/>
        <v>0</v>
      </c>
      <c r="M96">
        <f t="shared" si="4"/>
        <v>0</v>
      </c>
      <c r="N96">
        <f t="shared" si="4"/>
        <v>0</v>
      </c>
      <c r="O96">
        <f t="shared" si="4"/>
        <v>0</v>
      </c>
      <c r="P96">
        <f t="shared" si="4"/>
        <v>1</v>
      </c>
      <c r="Q96" t="str">
        <f t="shared" si="5"/>
        <v>Margot, Manuel - $16</v>
      </c>
    </row>
    <row r="97" spans="1:17" x14ac:dyDescent="0.35">
      <c r="A97">
        <v>5</v>
      </c>
      <c r="B97" t="s">
        <v>15</v>
      </c>
      <c r="C97" t="s">
        <v>283</v>
      </c>
      <c r="D97">
        <v>16</v>
      </c>
      <c r="E97">
        <v>2.6</v>
      </c>
      <c r="F97">
        <v>1.62</v>
      </c>
      <c r="G97">
        <v>2.2999999999999998</v>
      </c>
      <c r="H97">
        <v>1.5</v>
      </c>
      <c r="I97" s="3">
        <v>0</v>
      </c>
      <c r="J97">
        <f t="shared" si="4"/>
        <v>0</v>
      </c>
      <c r="K97">
        <f t="shared" si="4"/>
        <v>0</v>
      </c>
      <c r="L97">
        <f t="shared" si="4"/>
        <v>0</v>
      </c>
      <c r="M97">
        <f t="shared" si="4"/>
        <v>0</v>
      </c>
      <c r="N97">
        <f t="shared" si="4"/>
        <v>1</v>
      </c>
      <c r="O97">
        <f t="shared" si="4"/>
        <v>0</v>
      </c>
      <c r="P97">
        <f t="shared" si="4"/>
        <v>0</v>
      </c>
      <c r="Q97" t="str">
        <f t="shared" si="5"/>
        <v>Longoria, Evan - $16</v>
      </c>
    </row>
    <row r="98" spans="1:17" x14ac:dyDescent="0.35">
      <c r="A98">
        <v>6</v>
      </c>
      <c r="B98" t="s">
        <v>288</v>
      </c>
      <c r="C98" t="s">
        <v>270</v>
      </c>
      <c r="D98">
        <v>16</v>
      </c>
      <c r="E98">
        <v>2.9</v>
      </c>
      <c r="F98">
        <v>1.83</v>
      </c>
      <c r="G98">
        <v>3.1</v>
      </c>
      <c r="H98">
        <v>-0.8</v>
      </c>
      <c r="I98" s="3">
        <v>0</v>
      </c>
      <c r="J98">
        <f t="shared" si="4"/>
        <v>0</v>
      </c>
      <c r="K98">
        <f t="shared" si="4"/>
        <v>0</v>
      </c>
      <c r="L98">
        <f t="shared" si="4"/>
        <v>0</v>
      </c>
      <c r="M98">
        <f t="shared" si="4"/>
        <v>0</v>
      </c>
      <c r="N98">
        <f t="shared" si="4"/>
        <v>0</v>
      </c>
      <c r="O98">
        <f t="shared" si="4"/>
        <v>1</v>
      </c>
      <c r="P98">
        <f t="shared" si="4"/>
        <v>0</v>
      </c>
      <c r="Q98" t="str">
        <f t="shared" si="5"/>
        <v>Cabrera, Asdrubal - $16</v>
      </c>
    </row>
    <row r="99" spans="1:17" x14ac:dyDescent="0.35">
      <c r="A99">
        <v>4</v>
      </c>
      <c r="B99" t="s">
        <v>31</v>
      </c>
      <c r="C99" t="s">
        <v>255</v>
      </c>
      <c r="D99">
        <v>16</v>
      </c>
      <c r="E99">
        <v>2.4</v>
      </c>
      <c r="F99">
        <v>1.53</v>
      </c>
      <c r="G99">
        <v>2.6</v>
      </c>
      <c r="H99">
        <v>9.5</v>
      </c>
      <c r="I99" s="3">
        <v>0</v>
      </c>
      <c r="J99">
        <f t="shared" ref="J99:P130" si="6">IFERROR(IF(SEARCH(J$1,$A99)=1,1,0),0)</f>
        <v>0</v>
      </c>
      <c r="K99">
        <f t="shared" si="6"/>
        <v>0</v>
      </c>
      <c r="L99">
        <f t="shared" si="6"/>
        <v>0</v>
      </c>
      <c r="M99">
        <f t="shared" si="6"/>
        <v>1</v>
      </c>
      <c r="N99">
        <f t="shared" si="6"/>
        <v>0</v>
      </c>
      <c r="O99">
        <f t="shared" si="6"/>
        <v>0</v>
      </c>
      <c r="P99">
        <f t="shared" si="6"/>
        <v>0</v>
      </c>
      <c r="Q99" t="str">
        <f t="shared" si="5"/>
        <v>Villar, Jonathan - $16</v>
      </c>
    </row>
    <row r="100" spans="1:17" x14ac:dyDescent="0.35">
      <c r="A100">
        <v>6</v>
      </c>
      <c r="B100" t="s">
        <v>49</v>
      </c>
      <c r="C100" t="s">
        <v>283</v>
      </c>
      <c r="D100">
        <v>16</v>
      </c>
      <c r="E100">
        <v>2.4</v>
      </c>
      <c r="F100">
        <v>1.48</v>
      </c>
      <c r="G100">
        <v>2.9</v>
      </c>
      <c r="H100">
        <v>1.5</v>
      </c>
      <c r="I100" s="3">
        <v>0</v>
      </c>
      <c r="J100">
        <f t="shared" si="6"/>
        <v>0</v>
      </c>
      <c r="K100">
        <f t="shared" si="6"/>
        <v>0</v>
      </c>
      <c r="L100">
        <f t="shared" si="6"/>
        <v>0</v>
      </c>
      <c r="M100">
        <f t="shared" si="6"/>
        <v>0</v>
      </c>
      <c r="N100">
        <f t="shared" si="6"/>
        <v>0</v>
      </c>
      <c r="O100">
        <f t="shared" si="6"/>
        <v>1</v>
      </c>
      <c r="P100">
        <f t="shared" si="6"/>
        <v>0</v>
      </c>
      <c r="Q100" t="str">
        <f t="shared" si="5"/>
        <v>Miller, Brad - $16</v>
      </c>
    </row>
    <row r="101" spans="1:17" x14ac:dyDescent="0.35">
      <c r="A101">
        <v>7</v>
      </c>
      <c r="B101" t="s">
        <v>327</v>
      </c>
      <c r="C101" t="s">
        <v>270</v>
      </c>
      <c r="D101">
        <v>16</v>
      </c>
      <c r="E101">
        <v>3.2</v>
      </c>
      <c r="F101">
        <v>1.98</v>
      </c>
      <c r="G101">
        <v>3.5</v>
      </c>
      <c r="H101">
        <v>9.8000000000000007</v>
      </c>
      <c r="I101" s="3">
        <v>0</v>
      </c>
      <c r="J101">
        <f t="shared" si="6"/>
        <v>0</v>
      </c>
      <c r="K101">
        <f t="shared" si="6"/>
        <v>0</v>
      </c>
      <c r="L101">
        <f t="shared" si="6"/>
        <v>0</v>
      </c>
      <c r="M101">
        <f t="shared" si="6"/>
        <v>0</v>
      </c>
      <c r="N101">
        <f t="shared" si="6"/>
        <v>0</v>
      </c>
      <c r="O101">
        <f t="shared" si="6"/>
        <v>0</v>
      </c>
      <c r="P101">
        <f t="shared" si="6"/>
        <v>1</v>
      </c>
      <c r="Q101" t="str">
        <f t="shared" si="5"/>
        <v>Conforto, Michael - $16</v>
      </c>
    </row>
    <row r="102" spans="1:17" x14ac:dyDescent="0.35">
      <c r="A102">
        <v>7</v>
      </c>
      <c r="B102" t="s">
        <v>334</v>
      </c>
      <c r="C102" t="s">
        <v>268</v>
      </c>
      <c r="D102">
        <v>16</v>
      </c>
      <c r="E102">
        <v>2.5</v>
      </c>
      <c r="F102">
        <v>1.54</v>
      </c>
      <c r="G102">
        <v>2.1</v>
      </c>
      <c r="H102">
        <v>5.5</v>
      </c>
      <c r="I102" s="3">
        <v>0</v>
      </c>
      <c r="J102">
        <f t="shared" si="6"/>
        <v>0</v>
      </c>
      <c r="K102">
        <f t="shared" si="6"/>
        <v>0</v>
      </c>
      <c r="L102">
        <f t="shared" si="6"/>
        <v>0</v>
      </c>
      <c r="M102">
        <f t="shared" si="6"/>
        <v>0</v>
      </c>
      <c r="N102">
        <f t="shared" si="6"/>
        <v>0</v>
      </c>
      <c r="O102">
        <f t="shared" si="6"/>
        <v>0</v>
      </c>
      <c r="P102">
        <f t="shared" si="6"/>
        <v>1</v>
      </c>
      <c r="Q102" t="str">
        <f t="shared" si="5"/>
        <v>Herrera, Odubel - $16</v>
      </c>
    </row>
    <row r="103" spans="1:17" x14ac:dyDescent="0.35">
      <c r="A103">
        <v>7</v>
      </c>
      <c r="B103" t="s">
        <v>195</v>
      </c>
      <c r="C103" t="s">
        <v>266</v>
      </c>
      <c r="D103">
        <v>16</v>
      </c>
      <c r="E103">
        <v>2</v>
      </c>
      <c r="F103">
        <v>1.25</v>
      </c>
      <c r="G103">
        <v>1.4</v>
      </c>
      <c r="H103">
        <v>3.5</v>
      </c>
      <c r="I103" s="3">
        <v>0</v>
      </c>
      <c r="J103">
        <f t="shared" si="6"/>
        <v>0</v>
      </c>
      <c r="K103">
        <f t="shared" si="6"/>
        <v>0</v>
      </c>
      <c r="L103">
        <f t="shared" si="6"/>
        <v>0</v>
      </c>
      <c r="M103">
        <f t="shared" si="6"/>
        <v>0</v>
      </c>
      <c r="N103">
        <f t="shared" si="6"/>
        <v>0</v>
      </c>
      <c r="O103">
        <f t="shared" si="6"/>
        <v>0</v>
      </c>
      <c r="P103">
        <f t="shared" si="6"/>
        <v>1</v>
      </c>
      <c r="Q103" t="str">
        <f t="shared" si="5"/>
        <v>Renfroe, Hunter - $16</v>
      </c>
    </row>
    <row r="104" spans="1:17" x14ac:dyDescent="0.35">
      <c r="A104">
        <v>2</v>
      </c>
      <c r="B104" t="s">
        <v>324</v>
      </c>
      <c r="C104" t="s">
        <v>260</v>
      </c>
      <c r="D104">
        <v>16</v>
      </c>
      <c r="E104">
        <v>2.4</v>
      </c>
      <c r="F104">
        <v>1.51</v>
      </c>
      <c r="G104">
        <v>1.9</v>
      </c>
      <c r="H104">
        <v>3.2</v>
      </c>
      <c r="I104" s="3">
        <v>0</v>
      </c>
      <c r="J104">
        <f t="shared" si="6"/>
        <v>0</v>
      </c>
      <c r="K104">
        <f t="shared" si="6"/>
        <v>1</v>
      </c>
      <c r="L104">
        <f t="shared" si="6"/>
        <v>0</v>
      </c>
      <c r="M104">
        <f t="shared" si="6"/>
        <v>0</v>
      </c>
      <c r="N104">
        <f t="shared" si="6"/>
        <v>0</v>
      </c>
      <c r="O104">
        <f t="shared" si="6"/>
        <v>0</v>
      </c>
      <c r="P104">
        <f t="shared" si="6"/>
        <v>0</v>
      </c>
      <c r="Q104" t="str">
        <f t="shared" si="5"/>
        <v>Wieters, Matt - $16</v>
      </c>
    </row>
    <row r="105" spans="1:17" x14ac:dyDescent="0.35">
      <c r="A105">
        <v>5</v>
      </c>
      <c r="B105" t="s">
        <v>47</v>
      </c>
      <c r="C105" t="s">
        <v>271</v>
      </c>
      <c r="D105">
        <v>16</v>
      </c>
      <c r="E105">
        <v>2.1</v>
      </c>
      <c r="F105">
        <v>1.33</v>
      </c>
      <c r="G105">
        <v>3.4</v>
      </c>
      <c r="H105">
        <v>1.8</v>
      </c>
      <c r="I105" s="3">
        <v>0</v>
      </c>
      <c r="J105">
        <f t="shared" si="6"/>
        <v>0</v>
      </c>
      <c r="K105">
        <f t="shared" si="6"/>
        <v>0</v>
      </c>
      <c r="L105">
        <f t="shared" si="6"/>
        <v>0</v>
      </c>
      <c r="M105">
        <f t="shared" si="6"/>
        <v>0</v>
      </c>
      <c r="N105">
        <f t="shared" si="6"/>
        <v>1</v>
      </c>
      <c r="O105">
        <f t="shared" si="6"/>
        <v>0</v>
      </c>
      <c r="P105">
        <f t="shared" si="6"/>
        <v>0</v>
      </c>
      <c r="Q105" t="str">
        <f t="shared" si="5"/>
        <v>Plouffe, Trevor - $16</v>
      </c>
    </row>
    <row r="106" spans="1:17" x14ac:dyDescent="0.35">
      <c r="A106">
        <v>2</v>
      </c>
      <c r="B106" t="s">
        <v>200</v>
      </c>
      <c r="C106" t="s">
        <v>299</v>
      </c>
      <c r="D106">
        <v>16</v>
      </c>
      <c r="E106">
        <v>2.2000000000000002</v>
      </c>
      <c r="F106">
        <v>1.38</v>
      </c>
      <c r="G106">
        <v>1.9</v>
      </c>
      <c r="H106">
        <v>2</v>
      </c>
      <c r="I106" s="3">
        <v>0</v>
      </c>
      <c r="J106">
        <f t="shared" si="6"/>
        <v>0</v>
      </c>
      <c r="K106">
        <f t="shared" si="6"/>
        <v>1</v>
      </c>
      <c r="L106">
        <f t="shared" si="6"/>
        <v>0</v>
      </c>
      <c r="M106">
        <f t="shared" si="6"/>
        <v>0</v>
      </c>
      <c r="N106">
        <f t="shared" si="6"/>
        <v>0</v>
      </c>
      <c r="O106">
        <f t="shared" si="6"/>
        <v>0</v>
      </c>
      <c r="P106">
        <f t="shared" si="6"/>
        <v>0</v>
      </c>
      <c r="Q106" t="str">
        <f t="shared" si="5"/>
        <v>Molina, Yadier - $16</v>
      </c>
    </row>
    <row r="107" spans="1:17" x14ac:dyDescent="0.35">
      <c r="A107">
        <v>4</v>
      </c>
      <c r="B107" t="s">
        <v>420</v>
      </c>
      <c r="C107" t="s">
        <v>257</v>
      </c>
      <c r="D107">
        <v>16</v>
      </c>
      <c r="E107">
        <v>0.4</v>
      </c>
      <c r="F107">
        <v>0.27</v>
      </c>
      <c r="G107">
        <v>0.4</v>
      </c>
      <c r="H107">
        <v>-1.5</v>
      </c>
      <c r="I107" s="3">
        <v>0</v>
      </c>
      <c r="J107">
        <f t="shared" si="6"/>
        <v>0</v>
      </c>
      <c r="K107">
        <f t="shared" si="6"/>
        <v>0</v>
      </c>
      <c r="L107">
        <f t="shared" si="6"/>
        <v>0</v>
      </c>
      <c r="M107">
        <f t="shared" si="6"/>
        <v>1</v>
      </c>
      <c r="N107">
        <f t="shared" si="6"/>
        <v>0</v>
      </c>
      <c r="O107">
        <f t="shared" si="6"/>
        <v>0</v>
      </c>
      <c r="P107">
        <f t="shared" si="6"/>
        <v>0</v>
      </c>
      <c r="Q107" t="str">
        <f t="shared" si="5"/>
        <v>Kipnis, Jason - $16</v>
      </c>
    </row>
    <row r="108" spans="1:17" x14ac:dyDescent="0.35">
      <c r="A108">
        <v>5</v>
      </c>
      <c r="B108" t="s">
        <v>35</v>
      </c>
      <c r="C108" t="s">
        <v>255</v>
      </c>
      <c r="D108">
        <v>15</v>
      </c>
      <c r="E108">
        <v>4.0999999999999996</v>
      </c>
      <c r="F108">
        <v>2.75</v>
      </c>
      <c r="G108">
        <v>4.4000000000000004</v>
      </c>
      <c r="H108">
        <v>2.2000000000000002</v>
      </c>
      <c r="I108" s="3">
        <v>1</v>
      </c>
      <c r="J108">
        <f t="shared" si="6"/>
        <v>0</v>
      </c>
      <c r="K108">
        <f t="shared" si="6"/>
        <v>0</v>
      </c>
      <c r="L108">
        <f t="shared" si="6"/>
        <v>0</v>
      </c>
      <c r="M108">
        <f t="shared" si="6"/>
        <v>0</v>
      </c>
      <c r="N108">
        <f t="shared" si="6"/>
        <v>1</v>
      </c>
      <c r="O108">
        <f t="shared" si="6"/>
        <v>0</v>
      </c>
      <c r="P108">
        <f t="shared" si="6"/>
        <v>0</v>
      </c>
      <c r="Q108" t="str">
        <f t="shared" si="5"/>
        <v>Shaw, Travis - $15</v>
      </c>
    </row>
    <row r="109" spans="1:17" x14ac:dyDescent="0.35">
      <c r="A109">
        <v>6</v>
      </c>
      <c r="B109" t="s">
        <v>190</v>
      </c>
      <c r="C109" t="s">
        <v>272</v>
      </c>
      <c r="D109">
        <v>15</v>
      </c>
      <c r="E109">
        <v>3.7</v>
      </c>
      <c r="F109">
        <v>2.48</v>
      </c>
      <c r="G109">
        <v>3.2</v>
      </c>
      <c r="H109">
        <v>9</v>
      </c>
      <c r="I109" s="3">
        <v>0</v>
      </c>
      <c r="J109">
        <f t="shared" si="6"/>
        <v>0</v>
      </c>
      <c r="K109">
        <f t="shared" si="6"/>
        <v>0</v>
      </c>
      <c r="L109">
        <f t="shared" si="6"/>
        <v>0</v>
      </c>
      <c r="M109">
        <f t="shared" si="6"/>
        <v>0</v>
      </c>
      <c r="N109">
        <f t="shared" si="6"/>
        <v>0</v>
      </c>
      <c r="O109">
        <f t="shared" si="6"/>
        <v>1</v>
      </c>
      <c r="P109">
        <f t="shared" si="6"/>
        <v>0</v>
      </c>
      <c r="Q109" t="str">
        <f t="shared" si="5"/>
        <v>Owings, Chris - $15</v>
      </c>
    </row>
    <row r="110" spans="1:17" x14ac:dyDescent="0.35">
      <c r="A110">
        <v>7</v>
      </c>
      <c r="B110" t="s">
        <v>36</v>
      </c>
      <c r="C110" t="s">
        <v>256</v>
      </c>
      <c r="D110">
        <v>15</v>
      </c>
      <c r="E110">
        <v>3.5</v>
      </c>
      <c r="F110">
        <v>2.35</v>
      </c>
      <c r="G110">
        <v>2.4</v>
      </c>
      <c r="H110">
        <v>-0.8</v>
      </c>
      <c r="I110" s="3">
        <v>0</v>
      </c>
      <c r="J110">
        <f t="shared" si="6"/>
        <v>0</v>
      </c>
      <c r="K110">
        <f t="shared" si="6"/>
        <v>0</v>
      </c>
      <c r="L110">
        <f t="shared" si="6"/>
        <v>0</v>
      </c>
      <c r="M110">
        <f t="shared" si="6"/>
        <v>0</v>
      </c>
      <c r="N110">
        <f t="shared" si="6"/>
        <v>0</v>
      </c>
      <c r="O110">
        <f t="shared" si="6"/>
        <v>0</v>
      </c>
      <c r="P110">
        <f t="shared" si="6"/>
        <v>1</v>
      </c>
      <c r="Q110" t="str">
        <f t="shared" si="5"/>
        <v>Mazara, Nomar - $15</v>
      </c>
    </row>
    <row r="111" spans="1:17" x14ac:dyDescent="0.35">
      <c r="A111">
        <v>4</v>
      </c>
      <c r="B111" t="s">
        <v>183</v>
      </c>
      <c r="C111" t="s">
        <v>264</v>
      </c>
      <c r="D111">
        <v>15</v>
      </c>
      <c r="E111">
        <v>3.9</v>
      </c>
      <c r="F111">
        <v>2.58</v>
      </c>
      <c r="G111">
        <v>4.5</v>
      </c>
      <c r="H111">
        <v>3.2</v>
      </c>
      <c r="I111" s="3">
        <v>0</v>
      </c>
      <c r="J111">
        <f t="shared" si="6"/>
        <v>0</v>
      </c>
      <c r="K111">
        <f t="shared" si="6"/>
        <v>0</v>
      </c>
      <c r="L111">
        <f t="shared" si="6"/>
        <v>0</v>
      </c>
      <c r="M111">
        <f t="shared" si="6"/>
        <v>1</v>
      </c>
      <c r="N111">
        <f t="shared" si="6"/>
        <v>0</v>
      </c>
      <c r="O111">
        <f t="shared" si="6"/>
        <v>0</v>
      </c>
      <c r="P111">
        <f t="shared" si="6"/>
        <v>0</v>
      </c>
      <c r="Q111" t="str">
        <f t="shared" si="5"/>
        <v>Phillips, Brandon - $15</v>
      </c>
    </row>
    <row r="112" spans="1:17" x14ac:dyDescent="0.35">
      <c r="A112">
        <v>4</v>
      </c>
      <c r="B112" t="s">
        <v>303</v>
      </c>
      <c r="C112" t="s">
        <v>304</v>
      </c>
      <c r="D112">
        <v>15</v>
      </c>
      <c r="E112">
        <v>3.6</v>
      </c>
      <c r="F112">
        <v>2.38</v>
      </c>
      <c r="G112">
        <v>4.4000000000000004</v>
      </c>
      <c r="H112">
        <v>0.5</v>
      </c>
      <c r="I112" s="3">
        <v>0</v>
      </c>
      <c r="J112">
        <f t="shared" si="6"/>
        <v>0</v>
      </c>
      <c r="K112">
        <f t="shared" si="6"/>
        <v>0</v>
      </c>
      <c r="L112">
        <f t="shared" si="6"/>
        <v>0</v>
      </c>
      <c r="M112">
        <f t="shared" si="6"/>
        <v>1</v>
      </c>
      <c r="N112">
        <f t="shared" si="6"/>
        <v>0</v>
      </c>
      <c r="O112">
        <f t="shared" si="6"/>
        <v>0</v>
      </c>
      <c r="P112">
        <f t="shared" si="6"/>
        <v>0</v>
      </c>
      <c r="Q112" t="str">
        <f t="shared" si="5"/>
        <v>Schoop, Jonathan - $15</v>
      </c>
    </row>
    <row r="113" spans="1:17" x14ac:dyDescent="0.35">
      <c r="A113">
        <v>7</v>
      </c>
      <c r="B113" t="s">
        <v>46</v>
      </c>
      <c r="C113" t="s">
        <v>294</v>
      </c>
      <c r="D113">
        <v>15</v>
      </c>
      <c r="E113">
        <v>3.4</v>
      </c>
      <c r="F113">
        <v>2.2799999999999998</v>
      </c>
      <c r="G113">
        <v>3.7</v>
      </c>
      <c r="H113">
        <v>0</v>
      </c>
      <c r="I113" s="3">
        <v>0</v>
      </c>
      <c r="J113">
        <f t="shared" si="6"/>
        <v>0</v>
      </c>
      <c r="K113">
        <f t="shared" si="6"/>
        <v>0</v>
      </c>
      <c r="L113">
        <f t="shared" si="6"/>
        <v>0</v>
      </c>
      <c r="M113">
        <f t="shared" si="6"/>
        <v>0</v>
      </c>
      <c r="N113">
        <f t="shared" si="6"/>
        <v>0</v>
      </c>
      <c r="O113">
        <f t="shared" si="6"/>
        <v>0</v>
      </c>
      <c r="P113">
        <f t="shared" si="6"/>
        <v>1</v>
      </c>
      <c r="Q113" t="str">
        <f t="shared" si="5"/>
        <v>Heyward, Jason - $15</v>
      </c>
    </row>
    <row r="114" spans="1:17" x14ac:dyDescent="0.35">
      <c r="A114">
        <v>7</v>
      </c>
      <c r="B114" t="s">
        <v>209</v>
      </c>
      <c r="C114" t="s">
        <v>272</v>
      </c>
      <c r="D114">
        <v>15</v>
      </c>
      <c r="E114">
        <v>3.6</v>
      </c>
      <c r="F114">
        <v>2.37</v>
      </c>
      <c r="G114">
        <v>4</v>
      </c>
      <c r="H114">
        <v>12.5</v>
      </c>
      <c r="I114" s="3">
        <v>0</v>
      </c>
      <c r="J114">
        <f t="shared" si="6"/>
        <v>0</v>
      </c>
      <c r="K114">
        <f t="shared" si="6"/>
        <v>0</v>
      </c>
      <c r="L114">
        <f t="shared" si="6"/>
        <v>0</v>
      </c>
      <c r="M114">
        <f t="shared" si="6"/>
        <v>0</v>
      </c>
      <c r="N114">
        <f t="shared" si="6"/>
        <v>0</v>
      </c>
      <c r="O114">
        <f t="shared" si="6"/>
        <v>0</v>
      </c>
      <c r="P114">
        <f t="shared" si="6"/>
        <v>1</v>
      </c>
      <c r="Q114" t="str">
        <f t="shared" si="5"/>
        <v>Peralta, David - $15</v>
      </c>
    </row>
    <row r="115" spans="1:17" x14ac:dyDescent="0.35">
      <c r="A115">
        <v>3</v>
      </c>
      <c r="B115" t="s">
        <v>13</v>
      </c>
      <c r="C115" t="s">
        <v>283</v>
      </c>
      <c r="D115">
        <v>15</v>
      </c>
      <c r="E115">
        <v>2.8</v>
      </c>
      <c r="F115">
        <v>1.85</v>
      </c>
      <c r="G115">
        <v>2.6</v>
      </c>
      <c r="H115">
        <v>1.5</v>
      </c>
      <c r="I115" s="3">
        <v>0</v>
      </c>
      <c r="J115">
        <f t="shared" si="6"/>
        <v>0</v>
      </c>
      <c r="K115">
        <f t="shared" si="6"/>
        <v>0</v>
      </c>
      <c r="L115">
        <f t="shared" si="6"/>
        <v>1</v>
      </c>
      <c r="M115">
        <f t="shared" si="6"/>
        <v>0</v>
      </c>
      <c r="N115">
        <f t="shared" si="6"/>
        <v>0</v>
      </c>
      <c r="O115">
        <f t="shared" si="6"/>
        <v>0</v>
      </c>
      <c r="P115">
        <f t="shared" si="6"/>
        <v>0</v>
      </c>
      <c r="Q115" t="str">
        <f t="shared" si="5"/>
        <v>Morrison, Logan - $15</v>
      </c>
    </row>
    <row r="116" spans="1:17" x14ac:dyDescent="0.35">
      <c r="A116">
        <v>7</v>
      </c>
      <c r="B116" t="s">
        <v>153</v>
      </c>
      <c r="C116" t="s">
        <v>278</v>
      </c>
      <c r="D116">
        <v>15</v>
      </c>
      <c r="E116">
        <v>2.9</v>
      </c>
      <c r="F116">
        <v>1.9</v>
      </c>
      <c r="G116">
        <v>3.6</v>
      </c>
      <c r="H116">
        <v>0.2</v>
      </c>
      <c r="I116" s="3">
        <v>0</v>
      </c>
      <c r="J116">
        <f t="shared" si="6"/>
        <v>0</v>
      </c>
      <c r="K116">
        <f t="shared" si="6"/>
        <v>0</v>
      </c>
      <c r="L116">
        <f t="shared" si="6"/>
        <v>0</v>
      </c>
      <c r="M116">
        <f t="shared" si="6"/>
        <v>0</v>
      </c>
      <c r="N116">
        <f t="shared" si="6"/>
        <v>0</v>
      </c>
      <c r="O116">
        <f t="shared" si="6"/>
        <v>0</v>
      </c>
      <c r="P116">
        <f t="shared" si="6"/>
        <v>1</v>
      </c>
      <c r="Q116" t="str">
        <f t="shared" si="5"/>
        <v>Kepler, Max - $15</v>
      </c>
    </row>
    <row r="117" spans="1:17" x14ac:dyDescent="0.35">
      <c r="A117">
        <v>6</v>
      </c>
      <c r="B117" t="s">
        <v>289</v>
      </c>
      <c r="C117" t="s">
        <v>286</v>
      </c>
      <c r="D117">
        <v>15</v>
      </c>
      <c r="E117">
        <v>2.6</v>
      </c>
      <c r="F117">
        <v>1.74</v>
      </c>
      <c r="G117">
        <v>1.5</v>
      </c>
      <c r="H117">
        <v>0.2</v>
      </c>
      <c r="I117" s="3">
        <v>0</v>
      </c>
      <c r="J117">
        <f t="shared" si="6"/>
        <v>0</v>
      </c>
      <c r="K117">
        <f t="shared" si="6"/>
        <v>0</v>
      </c>
      <c r="L117">
        <f t="shared" si="6"/>
        <v>0</v>
      </c>
      <c r="M117">
        <f t="shared" si="6"/>
        <v>0</v>
      </c>
      <c r="N117">
        <f t="shared" si="6"/>
        <v>0</v>
      </c>
      <c r="O117">
        <f t="shared" si="6"/>
        <v>1</v>
      </c>
      <c r="P117">
        <f t="shared" si="6"/>
        <v>0</v>
      </c>
      <c r="Q117" t="str">
        <f t="shared" si="5"/>
        <v>Crawford, Brandon - $15</v>
      </c>
    </row>
    <row r="118" spans="1:17" x14ac:dyDescent="0.35">
      <c r="A118">
        <v>4</v>
      </c>
      <c r="B118" t="s">
        <v>132</v>
      </c>
      <c r="C118" t="s">
        <v>258</v>
      </c>
      <c r="D118">
        <v>15</v>
      </c>
      <c r="E118">
        <v>3</v>
      </c>
      <c r="F118">
        <v>1.98</v>
      </c>
      <c r="G118">
        <v>3</v>
      </c>
      <c r="H118">
        <v>4.5</v>
      </c>
      <c r="I118" s="3">
        <v>0</v>
      </c>
      <c r="J118">
        <f t="shared" si="6"/>
        <v>0</v>
      </c>
      <c r="K118">
        <f t="shared" si="6"/>
        <v>0</v>
      </c>
      <c r="L118">
        <f t="shared" si="6"/>
        <v>0</v>
      </c>
      <c r="M118">
        <f t="shared" si="6"/>
        <v>1</v>
      </c>
      <c r="N118">
        <f t="shared" si="6"/>
        <v>0</v>
      </c>
      <c r="O118">
        <f t="shared" si="6"/>
        <v>0</v>
      </c>
      <c r="P118">
        <f t="shared" si="6"/>
        <v>0</v>
      </c>
      <c r="Q118" t="str">
        <f t="shared" si="5"/>
        <v>Gordon, Dee - $15</v>
      </c>
    </row>
    <row r="119" spans="1:17" x14ac:dyDescent="0.35">
      <c r="A119">
        <v>7</v>
      </c>
      <c r="B119" t="s">
        <v>333</v>
      </c>
      <c r="C119" t="s">
        <v>277</v>
      </c>
      <c r="D119">
        <v>15</v>
      </c>
      <c r="E119">
        <v>3</v>
      </c>
      <c r="F119">
        <v>2.0299999999999998</v>
      </c>
      <c r="G119">
        <v>3</v>
      </c>
      <c r="H119">
        <v>7</v>
      </c>
      <c r="I119" s="3">
        <v>0</v>
      </c>
      <c r="J119">
        <f t="shared" si="6"/>
        <v>0</v>
      </c>
      <c r="K119">
        <f t="shared" si="6"/>
        <v>0</v>
      </c>
      <c r="L119">
        <f t="shared" si="6"/>
        <v>0</v>
      </c>
      <c r="M119">
        <f t="shared" si="6"/>
        <v>0</v>
      </c>
      <c r="N119">
        <f t="shared" si="6"/>
        <v>0</v>
      </c>
      <c r="O119">
        <f t="shared" si="6"/>
        <v>0</v>
      </c>
      <c r="P119">
        <f t="shared" si="6"/>
        <v>1</v>
      </c>
      <c r="Q119" t="str">
        <f t="shared" si="5"/>
        <v>Parra, Gerardo - $15</v>
      </c>
    </row>
    <row r="120" spans="1:17" x14ac:dyDescent="0.35">
      <c r="A120">
        <v>5</v>
      </c>
      <c r="B120" t="s">
        <v>95</v>
      </c>
      <c r="C120" t="s">
        <v>282</v>
      </c>
      <c r="D120">
        <v>15</v>
      </c>
      <c r="E120">
        <v>4</v>
      </c>
      <c r="F120">
        <v>2.64</v>
      </c>
      <c r="G120">
        <v>3.8</v>
      </c>
      <c r="H120">
        <v>0.8</v>
      </c>
      <c r="I120" s="3">
        <v>0</v>
      </c>
      <c r="J120">
        <f t="shared" si="6"/>
        <v>0</v>
      </c>
      <c r="K120">
        <f t="shared" si="6"/>
        <v>0</v>
      </c>
      <c r="L120">
        <f t="shared" si="6"/>
        <v>0</v>
      </c>
      <c r="M120">
        <f t="shared" si="6"/>
        <v>0</v>
      </c>
      <c r="N120">
        <f t="shared" si="6"/>
        <v>1</v>
      </c>
      <c r="O120">
        <f t="shared" si="6"/>
        <v>0</v>
      </c>
      <c r="P120">
        <f t="shared" si="6"/>
        <v>0</v>
      </c>
      <c r="Q120" t="str">
        <f t="shared" si="5"/>
        <v>Davidson, Matt - $15</v>
      </c>
    </row>
    <row r="121" spans="1:17" x14ac:dyDescent="0.35">
      <c r="A121">
        <v>7</v>
      </c>
      <c r="B121" t="s">
        <v>320</v>
      </c>
      <c r="C121" t="s">
        <v>263</v>
      </c>
      <c r="D121">
        <v>15</v>
      </c>
      <c r="E121">
        <v>2.7</v>
      </c>
      <c r="F121">
        <v>1.78</v>
      </c>
      <c r="G121">
        <v>1.9</v>
      </c>
      <c r="H121">
        <v>-3</v>
      </c>
      <c r="I121" s="3">
        <v>0</v>
      </c>
      <c r="J121">
        <f t="shared" si="6"/>
        <v>0</v>
      </c>
      <c r="K121">
        <f t="shared" si="6"/>
        <v>0</v>
      </c>
      <c r="L121">
        <f t="shared" si="6"/>
        <v>0</v>
      </c>
      <c r="M121">
        <f t="shared" si="6"/>
        <v>0</v>
      </c>
      <c r="N121">
        <f t="shared" si="6"/>
        <v>0</v>
      </c>
      <c r="O121">
        <f t="shared" si="6"/>
        <v>0</v>
      </c>
      <c r="P121">
        <f t="shared" si="6"/>
        <v>1</v>
      </c>
      <c r="Q121" t="str">
        <f t="shared" si="5"/>
        <v>Hamilton, Billy - $15</v>
      </c>
    </row>
    <row r="122" spans="1:17" x14ac:dyDescent="0.35">
      <c r="A122">
        <v>3</v>
      </c>
      <c r="B122" t="s">
        <v>319</v>
      </c>
      <c r="C122" t="s">
        <v>314</v>
      </c>
      <c r="D122">
        <v>15</v>
      </c>
      <c r="E122">
        <v>2.4</v>
      </c>
      <c r="F122">
        <v>1.59</v>
      </c>
      <c r="G122">
        <v>1.9</v>
      </c>
      <c r="H122">
        <v>1.5</v>
      </c>
      <c r="I122" s="3">
        <v>0</v>
      </c>
      <c r="J122">
        <f t="shared" si="6"/>
        <v>0</v>
      </c>
      <c r="K122">
        <f t="shared" si="6"/>
        <v>0</v>
      </c>
      <c r="L122">
        <f t="shared" si="6"/>
        <v>1</v>
      </c>
      <c r="M122">
        <f t="shared" si="6"/>
        <v>0</v>
      </c>
      <c r="N122">
        <f t="shared" si="6"/>
        <v>0</v>
      </c>
      <c r="O122">
        <f t="shared" si="6"/>
        <v>0</v>
      </c>
      <c r="P122">
        <f t="shared" si="6"/>
        <v>0</v>
      </c>
      <c r="Q122" t="str">
        <f t="shared" si="5"/>
        <v>Morales, Kendrys - $15</v>
      </c>
    </row>
    <row r="123" spans="1:17" x14ac:dyDescent="0.35">
      <c r="A123">
        <v>5</v>
      </c>
      <c r="B123" t="s">
        <v>325</v>
      </c>
      <c r="C123" t="s">
        <v>304</v>
      </c>
      <c r="D123">
        <v>15</v>
      </c>
      <c r="E123">
        <v>2.4</v>
      </c>
      <c r="F123">
        <v>1.63</v>
      </c>
      <c r="G123">
        <v>2</v>
      </c>
      <c r="H123">
        <v>0</v>
      </c>
      <c r="I123" s="3">
        <v>0</v>
      </c>
      <c r="J123">
        <f t="shared" si="6"/>
        <v>0</v>
      </c>
      <c r="K123">
        <f t="shared" si="6"/>
        <v>0</v>
      </c>
      <c r="L123">
        <f t="shared" si="6"/>
        <v>0</v>
      </c>
      <c r="M123">
        <f t="shared" si="6"/>
        <v>0</v>
      </c>
      <c r="N123">
        <f t="shared" si="6"/>
        <v>1</v>
      </c>
      <c r="O123">
        <f t="shared" si="6"/>
        <v>0</v>
      </c>
      <c r="P123">
        <f t="shared" si="6"/>
        <v>0</v>
      </c>
      <c r="Q123" t="str">
        <f t="shared" si="5"/>
        <v>Machado, Manny - $15</v>
      </c>
    </row>
    <row r="124" spans="1:17" x14ac:dyDescent="0.35">
      <c r="A124">
        <v>7</v>
      </c>
      <c r="B124" t="s">
        <v>17</v>
      </c>
      <c r="C124" t="s">
        <v>283</v>
      </c>
      <c r="D124">
        <v>15</v>
      </c>
      <c r="E124">
        <v>2.1</v>
      </c>
      <c r="F124">
        <v>1.42</v>
      </c>
      <c r="G124">
        <v>2</v>
      </c>
      <c r="H124">
        <v>-1.5</v>
      </c>
      <c r="I124" s="3">
        <v>0</v>
      </c>
      <c r="J124">
        <f t="shared" si="6"/>
        <v>0</v>
      </c>
      <c r="K124">
        <f t="shared" si="6"/>
        <v>0</v>
      </c>
      <c r="L124">
        <f t="shared" si="6"/>
        <v>0</v>
      </c>
      <c r="M124">
        <f t="shared" si="6"/>
        <v>0</v>
      </c>
      <c r="N124">
        <f t="shared" si="6"/>
        <v>0</v>
      </c>
      <c r="O124">
        <f t="shared" si="6"/>
        <v>0</v>
      </c>
      <c r="P124">
        <f t="shared" si="6"/>
        <v>1</v>
      </c>
      <c r="Q124" t="str">
        <f t="shared" si="5"/>
        <v>Kiermaier, Kevin - $15</v>
      </c>
    </row>
    <row r="125" spans="1:17" x14ac:dyDescent="0.35">
      <c r="A125">
        <v>5</v>
      </c>
      <c r="B125" t="s">
        <v>136</v>
      </c>
      <c r="C125" t="s">
        <v>271</v>
      </c>
      <c r="D125">
        <v>15</v>
      </c>
      <c r="E125">
        <v>2.2999999999999998</v>
      </c>
      <c r="F125">
        <v>1.56</v>
      </c>
      <c r="G125">
        <v>2.6</v>
      </c>
      <c r="H125">
        <v>-3</v>
      </c>
      <c r="I125" s="3">
        <v>0</v>
      </c>
      <c r="J125">
        <f t="shared" si="6"/>
        <v>0</v>
      </c>
      <c r="K125">
        <f t="shared" si="6"/>
        <v>0</v>
      </c>
      <c r="L125">
        <f t="shared" si="6"/>
        <v>0</v>
      </c>
      <c r="M125">
        <f t="shared" si="6"/>
        <v>0</v>
      </c>
      <c r="N125">
        <f t="shared" si="6"/>
        <v>1</v>
      </c>
      <c r="O125">
        <f t="shared" si="6"/>
        <v>0</v>
      </c>
      <c r="P125">
        <f t="shared" si="6"/>
        <v>0</v>
      </c>
      <c r="Q125" t="str">
        <f t="shared" si="5"/>
        <v>Healy, Ryon - $15</v>
      </c>
    </row>
    <row r="126" spans="1:17" x14ac:dyDescent="0.35">
      <c r="A126">
        <v>4</v>
      </c>
      <c r="B126" t="s">
        <v>44</v>
      </c>
      <c r="C126" t="s">
        <v>294</v>
      </c>
      <c r="D126">
        <v>15</v>
      </c>
      <c r="E126">
        <v>2.7</v>
      </c>
      <c r="F126">
        <v>1.81</v>
      </c>
      <c r="G126">
        <v>2.2999999999999998</v>
      </c>
      <c r="H126">
        <v>-0.8</v>
      </c>
      <c r="I126" s="3">
        <v>0</v>
      </c>
      <c r="J126">
        <f t="shared" si="6"/>
        <v>0</v>
      </c>
      <c r="K126">
        <f t="shared" si="6"/>
        <v>0</v>
      </c>
      <c r="L126">
        <f t="shared" si="6"/>
        <v>0</v>
      </c>
      <c r="M126">
        <f t="shared" si="6"/>
        <v>1</v>
      </c>
      <c r="N126">
        <f t="shared" si="6"/>
        <v>0</v>
      </c>
      <c r="O126">
        <f t="shared" si="6"/>
        <v>0</v>
      </c>
      <c r="P126">
        <f t="shared" si="6"/>
        <v>0</v>
      </c>
      <c r="Q126" t="str">
        <f t="shared" si="5"/>
        <v>Zobrist, Ben - $15</v>
      </c>
    </row>
    <row r="127" spans="1:17" x14ac:dyDescent="0.35">
      <c r="A127">
        <v>5</v>
      </c>
      <c r="B127" t="s">
        <v>193</v>
      </c>
      <c r="C127" t="s">
        <v>261</v>
      </c>
      <c r="D127">
        <v>15</v>
      </c>
      <c r="E127">
        <v>2.4</v>
      </c>
      <c r="F127">
        <v>1.58</v>
      </c>
      <c r="G127">
        <v>2.6</v>
      </c>
      <c r="H127">
        <v>4.5</v>
      </c>
      <c r="I127" s="3">
        <v>0</v>
      </c>
      <c r="J127">
        <f t="shared" si="6"/>
        <v>0</v>
      </c>
      <c r="K127">
        <f t="shared" si="6"/>
        <v>0</v>
      </c>
      <c r="L127">
        <f t="shared" si="6"/>
        <v>0</v>
      </c>
      <c r="M127">
        <f t="shared" si="6"/>
        <v>0</v>
      </c>
      <c r="N127">
        <f t="shared" si="6"/>
        <v>1</v>
      </c>
      <c r="O127">
        <f t="shared" si="6"/>
        <v>0</v>
      </c>
      <c r="P127">
        <f t="shared" si="6"/>
        <v>0</v>
      </c>
      <c r="Q127" t="str">
        <f t="shared" si="5"/>
        <v>Seager, Kyle - $15</v>
      </c>
    </row>
    <row r="128" spans="1:17" x14ac:dyDescent="0.35">
      <c r="A128">
        <v>2</v>
      </c>
      <c r="B128" t="s">
        <v>83</v>
      </c>
      <c r="C128" t="s">
        <v>256</v>
      </c>
      <c r="D128">
        <v>15</v>
      </c>
      <c r="E128">
        <v>6.3</v>
      </c>
      <c r="F128">
        <v>4.1900000000000004</v>
      </c>
      <c r="G128">
        <v>6.6</v>
      </c>
      <c r="H128">
        <v>7.8</v>
      </c>
      <c r="I128" s="3">
        <v>1</v>
      </c>
      <c r="J128">
        <f t="shared" si="6"/>
        <v>0</v>
      </c>
      <c r="K128">
        <f t="shared" si="6"/>
        <v>1</v>
      </c>
      <c r="L128">
        <f t="shared" si="6"/>
        <v>0</v>
      </c>
      <c r="M128">
        <f t="shared" si="6"/>
        <v>0</v>
      </c>
      <c r="N128">
        <f t="shared" si="6"/>
        <v>0</v>
      </c>
      <c r="O128">
        <f t="shared" si="6"/>
        <v>0</v>
      </c>
      <c r="P128">
        <f t="shared" si="6"/>
        <v>0</v>
      </c>
      <c r="Q128" t="str">
        <f t="shared" si="5"/>
        <v>Chirinos, Robinson - $15</v>
      </c>
    </row>
    <row r="129" spans="1:17" x14ac:dyDescent="0.35">
      <c r="A129">
        <v>3</v>
      </c>
      <c r="B129" t="s">
        <v>306</v>
      </c>
      <c r="C129" t="s">
        <v>304</v>
      </c>
      <c r="D129">
        <v>15</v>
      </c>
      <c r="E129">
        <v>3.3</v>
      </c>
      <c r="F129">
        <v>2.2200000000000002</v>
      </c>
      <c r="G129">
        <v>4.0999999999999996</v>
      </c>
      <c r="H129">
        <v>-2.2000000000000002</v>
      </c>
      <c r="I129" s="3">
        <v>0</v>
      </c>
      <c r="J129">
        <f t="shared" si="6"/>
        <v>0</v>
      </c>
      <c r="K129">
        <f t="shared" si="6"/>
        <v>0</v>
      </c>
      <c r="L129">
        <f t="shared" si="6"/>
        <v>1</v>
      </c>
      <c r="M129">
        <f t="shared" si="6"/>
        <v>0</v>
      </c>
      <c r="N129">
        <f t="shared" si="6"/>
        <v>0</v>
      </c>
      <c r="O129">
        <f t="shared" si="6"/>
        <v>0</v>
      </c>
      <c r="P129">
        <f t="shared" si="6"/>
        <v>0</v>
      </c>
      <c r="Q129" t="str">
        <f t="shared" si="5"/>
        <v>Mancini, Trey - $15</v>
      </c>
    </row>
    <row r="130" spans="1:17" x14ac:dyDescent="0.35">
      <c r="A130">
        <v>3</v>
      </c>
      <c r="B130" t="s">
        <v>315</v>
      </c>
      <c r="C130" t="s">
        <v>304</v>
      </c>
      <c r="D130">
        <v>15</v>
      </c>
      <c r="E130">
        <v>2.1</v>
      </c>
      <c r="F130">
        <v>1.39</v>
      </c>
      <c r="G130">
        <v>1.9</v>
      </c>
      <c r="H130">
        <v>1</v>
      </c>
      <c r="I130" s="3">
        <v>0</v>
      </c>
      <c r="J130">
        <f t="shared" si="6"/>
        <v>0</v>
      </c>
      <c r="K130">
        <f t="shared" si="6"/>
        <v>0</v>
      </c>
      <c r="L130">
        <f t="shared" si="6"/>
        <v>1</v>
      </c>
      <c r="M130">
        <f t="shared" si="6"/>
        <v>0</v>
      </c>
      <c r="N130">
        <f t="shared" si="6"/>
        <v>0</v>
      </c>
      <c r="O130">
        <f t="shared" si="6"/>
        <v>0</v>
      </c>
      <c r="P130">
        <f t="shared" si="6"/>
        <v>0</v>
      </c>
      <c r="Q130" t="str">
        <f t="shared" si="5"/>
        <v>Davis, Chris - $15</v>
      </c>
    </row>
    <row r="131" spans="1:17" x14ac:dyDescent="0.35">
      <c r="A131">
        <v>4</v>
      </c>
      <c r="B131" t="s">
        <v>147</v>
      </c>
      <c r="C131" t="s">
        <v>308</v>
      </c>
      <c r="D131">
        <v>15</v>
      </c>
      <c r="E131">
        <v>2</v>
      </c>
      <c r="F131">
        <v>1.36</v>
      </c>
      <c r="G131">
        <v>2.1</v>
      </c>
      <c r="H131">
        <v>0</v>
      </c>
      <c r="I131" s="3">
        <v>0</v>
      </c>
      <c r="J131">
        <f t="shared" ref="J131:P162" si="7">IFERROR(IF(SEARCH(J$1,$A131)=1,1,0),0)</f>
        <v>0</v>
      </c>
      <c r="K131">
        <f t="shared" si="7"/>
        <v>0</v>
      </c>
      <c r="L131">
        <f t="shared" si="7"/>
        <v>0</v>
      </c>
      <c r="M131">
        <f t="shared" si="7"/>
        <v>1</v>
      </c>
      <c r="N131">
        <f t="shared" si="7"/>
        <v>0</v>
      </c>
      <c r="O131">
        <f t="shared" si="7"/>
        <v>0</v>
      </c>
      <c r="P131">
        <f t="shared" si="7"/>
        <v>0</v>
      </c>
      <c r="Q131" t="str">
        <f t="shared" ref="Q131:Q194" si="8">B131&amp;" - $"&amp;D131</f>
        <v>Harrison, Josh - $15</v>
      </c>
    </row>
    <row r="132" spans="1:17" x14ac:dyDescent="0.35">
      <c r="A132">
        <v>7</v>
      </c>
      <c r="B132" t="s">
        <v>328</v>
      </c>
      <c r="C132" t="s">
        <v>304</v>
      </c>
      <c r="D132">
        <v>15</v>
      </c>
      <c r="E132">
        <v>3.3</v>
      </c>
      <c r="F132">
        <v>2.23</v>
      </c>
      <c r="G132">
        <v>2.4</v>
      </c>
      <c r="H132">
        <v>0</v>
      </c>
      <c r="I132" s="3">
        <v>0</v>
      </c>
      <c r="J132">
        <f t="shared" si="7"/>
        <v>0</v>
      </c>
      <c r="K132">
        <f t="shared" si="7"/>
        <v>0</v>
      </c>
      <c r="L132">
        <f t="shared" si="7"/>
        <v>0</v>
      </c>
      <c r="M132">
        <f t="shared" si="7"/>
        <v>0</v>
      </c>
      <c r="N132">
        <f t="shared" si="7"/>
        <v>0</v>
      </c>
      <c r="O132">
        <f t="shared" si="7"/>
        <v>0</v>
      </c>
      <c r="P132">
        <f t="shared" si="7"/>
        <v>1</v>
      </c>
      <c r="Q132" t="str">
        <f t="shared" si="8"/>
        <v>Smith, Seth - $15</v>
      </c>
    </row>
    <row r="133" spans="1:17" x14ac:dyDescent="0.35">
      <c r="A133">
        <v>2</v>
      </c>
      <c r="B133" t="s">
        <v>405</v>
      </c>
      <c r="C133" t="s">
        <v>286</v>
      </c>
      <c r="D133">
        <v>15</v>
      </c>
      <c r="E133">
        <v>2.4</v>
      </c>
      <c r="F133">
        <v>1.63</v>
      </c>
      <c r="G133">
        <v>1.7</v>
      </c>
      <c r="H133">
        <v>4.2</v>
      </c>
      <c r="I133" s="3">
        <v>0</v>
      </c>
      <c r="J133">
        <f t="shared" si="7"/>
        <v>0</v>
      </c>
      <c r="K133">
        <f t="shared" si="7"/>
        <v>1</v>
      </c>
      <c r="L133">
        <f t="shared" si="7"/>
        <v>0</v>
      </c>
      <c r="M133">
        <f t="shared" si="7"/>
        <v>0</v>
      </c>
      <c r="N133">
        <f t="shared" si="7"/>
        <v>0</v>
      </c>
      <c r="O133">
        <f t="shared" si="7"/>
        <v>0</v>
      </c>
      <c r="P133">
        <f t="shared" si="7"/>
        <v>0</v>
      </c>
      <c r="Q133" t="str">
        <f t="shared" si="8"/>
        <v>Posey, Buster - $15</v>
      </c>
    </row>
    <row r="134" spans="1:17" x14ac:dyDescent="0.35">
      <c r="A134">
        <v>7</v>
      </c>
      <c r="B134" t="s">
        <v>407</v>
      </c>
      <c r="C134" t="s">
        <v>284</v>
      </c>
      <c r="D134">
        <v>15</v>
      </c>
      <c r="E134">
        <v>3.6</v>
      </c>
      <c r="F134">
        <v>2.4</v>
      </c>
      <c r="G134">
        <v>3.2</v>
      </c>
      <c r="H134">
        <v>-0.8</v>
      </c>
      <c r="I134" s="3">
        <v>0</v>
      </c>
      <c r="J134">
        <f t="shared" si="7"/>
        <v>0</v>
      </c>
      <c r="K134">
        <f t="shared" si="7"/>
        <v>0</v>
      </c>
      <c r="L134">
        <f t="shared" si="7"/>
        <v>0</v>
      </c>
      <c r="M134">
        <f t="shared" si="7"/>
        <v>0</v>
      </c>
      <c r="N134">
        <f t="shared" si="7"/>
        <v>0</v>
      </c>
      <c r="O134">
        <f t="shared" si="7"/>
        <v>0</v>
      </c>
      <c r="P134">
        <f t="shared" si="7"/>
        <v>1</v>
      </c>
      <c r="Q134" t="str">
        <f t="shared" si="8"/>
        <v>Bradley, Jackie - $15</v>
      </c>
    </row>
    <row r="135" spans="1:17" x14ac:dyDescent="0.35">
      <c r="A135">
        <v>7</v>
      </c>
      <c r="B135" t="s">
        <v>418</v>
      </c>
      <c r="C135" t="s">
        <v>291</v>
      </c>
      <c r="D135">
        <v>15</v>
      </c>
      <c r="E135">
        <v>2.1</v>
      </c>
      <c r="F135">
        <v>1.38</v>
      </c>
      <c r="G135">
        <v>2.1</v>
      </c>
      <c r="H135">
        <v>1</v>
      </c>
      <c r="I135" s="3">
        <v>0</v>
      </c>
      <c r="J135">
        <f t="shared" si="7"/>
        <v>0</v>
      </c>
      <c r="K135">
        <f t="shared" si="7"/>
        <v>0</v>
      </c>
      <c r="L135">
        <f t="shared" si="7"/>
        <v>0</v>
      </c>
      <c r="M135">
        <f t="shared" si="7"/>
        <v>0</v>
      </c>
      <c r="N135">
        <f t="shared" si="7"/>
        <v>0</v>
      </c>
      <c r="O135">
        <f t="shared" si="7"/>
        <v>0</v>
      </c>
      <c r="P135">
        <f t="shared" si="7"/>
        <v>1</v>
      </c>
      <c r="Q135" t="str">
        <f t="shared" si="8"/>
        <v>Bonifacio, Jorge - $15</v>
      </c>
    </row>
    <row r="136" spans="1:17" x14ac:dyDescent="0.35">
      <c r="A136">
        <v>5</v>
      </c>
      <c r="B136" t="s">
        <v>59</v>
      </c>
      <c r="C136" t="s">
        <v>256</v>
      </c>
      <c r="D136">
        <v>14</v>
      </c>
      <c r="E136">
        <v>3.8</v>
      </c>
      <c r="F136">
        <v>2.72</v>
      </c>
      <c r="G136">
        <v>3.7</v>
      </c>
      <c r="H136">
        <v>6.2</v>
      </c>
      <c r="I136" s="3">
        <v>0</v>
      </c>
      <c r="J136">
        <f t="shared" si="7"/>
        <v>0</v>
      </c>
      <c r="K136">
        <f t="shared" si="7"/>
        <v>0</v>
      </c>
      <c r="L136">
        <f t="shared" si="7"/>
        <v>0</v>
      </c>
      <c r="M136">
        <f t="shared" si="7"/>
        <v>0</v>
      </c>
      <c r="N136">
        <f t="shared" si="7"/>
        <v>1</v>
      </c>
      <c r="O136">
        <f t="shared" si="7"/>
        <v>0</v>
      </c>
      <c r="P136">
        <f t="shared" si="7"/>
        <v>0</v>
      </c>
      <c r="Q136" t="str">
        <f t="shared" si="8"/>
        <v>Gallo, Joey - $14</v>
      </c>
    </row>
    <row r="137" spans="1:17" x14ac:dyDescent="0.35">
      <c r="A137">
        <v>5</v>
      </c>
      <c r="B137" t="s">
        <v>185</v>
      </c>
      <c r="C137" t="s">
        <v>266</v>
      </c>
      <c r="D137">
        <v>14</v>
      </c>
      <c r="E137">
        <v>3.2</v>
      </c>
      <c r="F137">
        <v>2.31</v>
      </c>
      <c r="G137">
        <v>2.5</v>
      </c>
      <c r="H137">
        <v>4.5</v>
      </c>
      <c r="I137" s="3">
        <v>0</v>
      </c>
      <c r="J137">
        <f t="shared" si="7"/>
        <v>0</v>
      </c>
      <c r="K137">
        <f t="shared" si="7"/>
        <v>0</v>
      </c>
      <c r="L137">
        <f t="shared" si="7"/>
        <v>0</v>
      </c>
      <c r="M137">
        <f t="shared" si="7"/>
        <v>0</v>
      </c>
      <c r="N137">
        <f t="shared" si="7"/>
        <v>1</v>
      </c>
      <c r="O137">
        <f t="shared" si="7"/>
        <v>0</v>
      </c>
      <c r="P137">
        <f t="shared" si="7"/>
        <v>0</v>
      </c>
      <c r="Q137" t="str">
        <f t="shared" si="8"/>
        <v>Solarte, Yangervis - $14</v>
      </c>
    </row>
    <row r="138" spans="1:17" x14ac:dyDescent="0.35">
      <c r="A138">
        <v>5</v>
      </c>
      <c r="B138" t="s">
        <v>28</v>
      </c>
      <c r="C138" t="s">
        <v>273</v>
      </c>
      <c r="D138">
        <v>14</v>
      </c>
      <c r="E138">
        <v>3.9</v>
      </c>
      <c r="F138">
        <v>2.79</v>
      </c>
      <c r="G138">
        <v>3.5</v>
      </c>
      <c r="H138">
        <v>-0.8</v>
      </c>
      <c r="I138" s="3">
        <v>0</v>
      </c>
      <c r="J138">
        <f t="shared" si="7"/>
        <v>0</v>
      </c>
      <c r="K138">
        <f t="shared" si="7"/>
        <v>0</v>
      </c>
      <c r="L138">
        <f t="shared" si="7"/>
        <v>0</v>
      </c>
      <c r="M138">
        <f t="shared" si="7"/>
        <v>0</v>
      </c>
      <c r="N138">
        <f t="shared" si="7"/>
        <v>1</v>
      </c>
      <c r="O138">
        <f t="shared" si="7"/>
        <v>0</v>
      </c>
      <c r="P138">
        <f t="shared" si="7"/>
        <v>0</v>
      </c>
      <c r="Q138" t="str">
        <f t="shared" si="8"/>
        <v>Headley, Chase - $14</v>
      </c>
    </row>
    <row r="139" spans="1:17" x14ac:dyDescent="0.35">
      <c r="A139">
        <v>4</v>
      </c>
      <c r="B139" t="s">
        <v>30</v>
      </c>
      <c r="C139" t="s">
        <v>273</v>
      </c>
      <c r="D139">
        <v>14</v>
      </c>
      <c r="E139">
        <v>3.7</v>
      </c>
      <c r="F139">
        <v>2.66</v>
      </c>
      <c r="G139">
        <v>4.2</v>
      </c>
      <c r="H139">
        <v>-1.2</v>
      </c>
      <c r="I139" s="3">
        <v>1</v>
      </c>
      <c r="J139">
        <f t="shared" si="7"/>
        <v>0</v>
      </c>
      <c r="K139">
        <f t="shared" si="7"/>
        <v>0</v>
      </c>
      <c r="L139">
        <f t="shared" si="7"/>
        <v>0</v>
      </c>
      <c r="M139">
        <f t="shared" si="7"/>
        <v>1</v>
      </c>
      <c r="N139">
        <f t="shared" si="7"/>
        <v>0</v>
      </c>
      <c r="O139">
        <f t="shared" si="7"/>
        <v>0</v>
      </c>
      <c r="P139">
        <f t="shared" si="7"/>
        <v>0</v>
      </c>
      <c r="Q139" t="str">
        <f t="shared" si="8"/>
        <v>Castro, Starlin - $14</v>
      </c>
    </row>
    <row r="140" spans="1:17" x14ac:dyDescent="0.35">
      <c r="A140">
        <v>5</v>
      </c>
      <c r="B140" t="s">
        <v>310</v>
      </c>
      <c r="C140" t="s">
        <v>311</v>
      </c>
      <c r="D140">
        <v>14</v>
      </c>
      <c r="E140">
        <v>3.5</v>
      </c>
      <c r="F140">
        <v>2.48</v>
      </c>
      <c r="G140">
        <v>3.1</v>
      </c>
      <c r="H140">
        <v>6.2</v>
      </c>
      <c r="I140" s="3">
        <v>0</v>
      </c>
      <c r="J140">
        <f t="shared" si="7"/>
        <v>0</v>
      </c>
      <c r="K140">
        <f t="shared" si="7"/>
        <v>0</v>
      </c>
      <c r="L140">
        <f t="shared" si="7"/>
        <v>0</v>
      </c>
      <c r="M140">
        <f t="shared" si="7"/>
        <v>0</v>
      </c>
      <c r="N140">
        <f t="shared" si="7"/>
        <v>1</v>
      </c>
      <c r="O140">
        <f t="shared" si="7"/>
        <v>0</v>
      </c>
      <c r="P140">
        <f t="shared" si="7"/>
        <v>0</v>
      </c>
      <c r="Q140" t="str">
        <f t="shared" si="8"/>
        <v>Castellanos, Nick - $14</v>
      </c>
    </row>
    <row r="141" spans="1:17" x14ac:dyDescent="0.35">
      <c r="A141">
        <v>7</v>
      </c>
      <c r="B141" t="s">
        <v>33</v>
      </c>
      <c r="C141" t="s">
        <v>265</v>
      </c>
      <c r="D141">
        <v>14</v>
      </c>
      <c r="E141">
        <v>3.1</v>
      </c>
      <c r="F141">
        <v>2.2400000000000002</v>
      </c>
      <c r="G141">
        <v>2.4</v>
      </c>
      <c r="H141">
        <v>2.5</v>
      </c>
      <c r="I141" s="3">
        <v>0</v>
      </c>
      <c r="J141">
        <f t="shared" si="7"/>
        <v>0</v>
      </c>
      <c r="K141">
        <f t="shared" si="7"/>
        <v>0</v>
      </c>
      <c r="L141">
        <f t="shared" si="7"/>
        <v>0</v>
      </c>
      <c r="M141">
        <f t="shared" si="7"/>
        <v>0</v>
      </c>
      <c r="N141">
        <f t="shared" si="7"/>
        <v>0</v>
      </c>
      <c r="O141">
        <f t="shared" si="7"/>
        <v>0</v>
      </c>
      <c r="P141">
        <f t="shared" si="7"/>
        <v>1</v>
      </c>
      <c r="Q141" t="str">
        <f t="shared" si="8"/>
        <v>Puig, Yasiel - $14</v>
      </c>
    </row>
    <row r="142" spans="1:17" x14ac:dyDescent="0.35">
      <c r="A142">
        <v>7</v>
      </c>
      <c r="B142" t="s">
        <v>313</v>
      </c>
      <c r="C142" t="s">
        <v>304</v>
      </c>
      <c r="D142">
        <v>14</v>
      </c>
      <c r="E142">
        <v>3.4</v>
      </c>
      <c r="F142">
        <v>2.42</v>
      </c>
      <c r="G142">
        <v>3.1</v>
      </c>
      <c r="H142">
        <v>-0.8</v>
      </c>
      <c r="I142" s="3">
        <v>0</v>
      </c>
      <c r="J142">
        <f t="shared" si="7"/>
        <v>0</v>
      </c>
      <c r="K142">
        <f t="shared" si="7"/>
        <v>0</v>
      </c>
      <c r="L142">
        <f t="shared" si="7"/>
        <v>0</v>
      </c>
      <c r="M142">
        <f t="shared" si="7"/>
        <v>0</v>
      </c>
      <c r="N142">
        <f t="shared" si="7"/>
        <v>0</v>
      </c>
      <c r="O142">
        <f t="shared" si="7"/>
        <v>0</v>
      </c>
      <c r="P142">
        <f t="shared" si="7"/>
        <v>1</v>
      </c>
      <c r="Q142" t="str">
        <f t="shared" si="8"/>
        <v>Jones, Adam - $14</v>
      </c>
    </row>
    <row r="143" spans="1:17" x14ac:dyDescent="0.35">
      <c r="A143">
        <v>3</v>
      </c>
      <c r="B143" t="s">
        <v>131</v>
      </c>
      <c r="C143" t="s">
        <v>284</v>
      </c>
      <c r="D143">
        <v>14</v>
      </c>
      <c r="E143">
        <v>3.2</v>
      </c>
      <c r="F143">
        <v>2.29</v>
      </c>
      <c r="G143">
        <v>3.4</v>
      </c>
      <c r="H143">
        <v>8</v>
      </c>
      <c r="I143" s="3">
        <v>0</v>
      </c>
      <c r="J143">
        <f t="shared" si="7"/>
        <v>0</v>
      </c>
      <c r="K143">
        <f t="shared" si="7"/>
        <v>0</v>
      </c>
      <c r="L143">
        <f t="shared" si="7"/>
        <v>1</v>
      </c>
      <c r="M143">
        <f t="shared" si="7"/>
        <v>0</v>
      </c>
      <c r="N143">
        <f t="shared" si="7"/>
        <v>0</v>
      </c>
      <c r="O143">
        <f t="shared" si="7"/>
        <v>0</v>
      </c>
      <c r="P143">
        <f t="shared" si="7"/>
        <v>0</v>
      </c>
      <c r="Q143" t="str">
        <f t="shared" si="8"/>
        <v>Moreland, Mitch - $14</v>
      </c>
    </row>
    <row r="144" spans="1:17" x14ac:dyDescent="0.35">
      <c r="A144">
        <v>6</v>
      </c>
      <c r="B144" t="s">
        <v>123</v>
      </c>
      <c r="C144" t="s">
        <v>278</v>
      </c>
      <c r="D144">
        <v>14</v>
      </c>
      <c r="E144">
        <v>3.2</v>
      </c>
      <c r="F144">
        <v>2.2999999999999998</v>
      </c>
      <c r="G144">
        <v>2.7</v>
      </c>
      <c r="H144">
        <v>5.8</v>
      </c>
      <c r="I144" s="3">
        <v>0</v>
      </c>
      <c r="J144">
        <f t="shared" si="7"/>
        <v>0</v>
      </c>
      <c r="K144">
        <f t="shared" si="7"/>
        <v>0</v>
      </c>
      <c r="L144">
        <f t="shared" si="7"/>
        <v>0</v>
      </c>
      <c r="M144">
        <f t="shared" si="7"/>
        <v>0</v>
      </c>
      <c r="N144">
        <f t="shared" si="7"/>
        <v>0</v>
      </c>
      <c r="O144">
        <f t="shared" si="7"/>
        <v>1</v>
      </c>
      <c r="P144">
        <f t="shared" si="7"/>
        <v>0</v>
      </c>
      <c r="Q144" t="str">
        <f t="shared" si="8"/>
        <v>Polanco, Jorge - $14</v>
      </c>
    </row>
    <row r="145" spans="1:17" x14ac:dyDescent="0.35">
      <c r="A145">
        <v>7</v>
      </c>
      <c r="B145" t="s">
        <v>341</v>
      </c>
      <c r="C145" t="s">
        <v>314</v>
      </c>
      <c r="D145">
        <v>14</v>
      </c>
      <c r="E145">
        <v>2.8</v>
      </c>
      <c r="F145">
        <v>2</v>
      </c>
      <c r="G145">
        <v>3.4</v>
      </c>
      <c r="H145">
        <v>7.5</v>
      </c>
      <c r="I145" s="3">
        <v>0</v>
      </c>
      <c r="J145">
        <f t="shared" si="7"/>
        <v>0</v>
      </c>
      <c r="K145">
        <f t="shared" si="7"/>
        <v>0</v>
      </c>
      <c r="L145">
        <f t="shared" si="7"/>
        <v>0</v>
      </c>
      <c r="M145">
        <f t="shared" si="7"/>
        <v>0</v>
      </c>
      <c r="N145">
        <f t="shared" si="7"/>
        <v>0</v>
      </c>
      <c r="O145">
        <f t="shared" si="7"/>
        <v>0</v>
      </c>
      <c r="P145">
        <f t="shared" si="7"/>
        <v>1</v>
      </c>
      <c r="Q145" t="str">
        <f t="shared" si="8"/>
        <v>Pillar, Kevin - $14</v>
      </c>
    </row>
    <row r="146" spans="1:17" x14ac:dyDescent="0.35">
      <c r="A146">
        <v>5</v>
      </c>
      <c r="B146" t="s">
        <v>138</v>
      </c>
      <c r="C146" t="s">
        <v>308</v>
      </c>
      <c r="D146">
        <v>14</v>
      </c>
      <c r="E146">
        <v>3</v>
      </c>
      <c r="F146">
        <v>2.17</v>
      </c>
      <c r="G146">
        <v>3.2</v>
      </c>
      <c r="H146">
        <v>2.5</v>
      </c>
      <c r="I146" s="3">
        <v>0</v>
      </c>
      <c r="J146">
        <f t="shared" si="7"/>
        <v>0</v>
      </c>
      <c r="K146">
        <f t="shared" si="7"/>
        <v>0</v>
      </c>
      <c r="L146">
        <f t="shared" si="7"/>
        <v>0</v>
      </c>
      <c r="M146">
        <f t="shared" si="7"/>
        <v>0</v>
      </c>
      <c r="N146">
        <f t="shared" si="7"/>
        <v>1</v>
      </c>
      <c r="O146">
        <f t="shared" si="7"/>
        <v>0</v>
      </c>
      <c r="P146">
        <f t="shared" si="7"/>
        <v>0</v>
      </c>
      <c r="Q146" t="str">
        <f t="shared" si="8"/>
        <v>Freese, David - $14</v>
      </c>
    </row>
    <row r="147" spans="1:17" x14ac:dyDescent="0.35">
      <c r="A147">
        <v>6</v>
      </c>
      <c r="B147" t="s">
        <v>56</v>
      </c>
      <c r="C147" t="s">
        <v>275</v>
      </c>
      <c r="D147">
        <v>14</v>
      </c>
      <c r="E147">
        <v>2.6</v>
      </c>
      <c r="F147">
        <v>1.86</v>
      </c>
      <c r="G147">
        <v>2.1</v>
      </c>
      <c r="H147">
        <v>-0.8</v>
      </c>
      <c r="I147" s="3">
        <v>0</v>
      </c>
      <c r="J147">
        <f t="shared" si="7"/>
        <v>0</v>
      </c>
      <c r="K147">
        <f t="shared" si="7"/>
        <v>0</v>
      </c>
      <c r="L147">
        <f t="shared" si="7"/>
        <v>0</v>
      </c>
      <c r="M147">
        <f t="shared" si="7"/>
        <v>0</v>
      </c>
      <c r="N147">
        <f t="shared" si="7"/>
        <v>0</v>
      </c>
      <c r="O147">
        <f t="shared" si="7"/>
        <v>1</v>
      </c>
      <c r="P147">
        <f t="shared" si="7"/>
        <v>0</v>
      </c>
      <c r="Q147" t="str">
        <f t="shared" si="8"/>
        <v>Simmons, Andrelton - $14</v>
      </c>
    </row>
    <row r="148" spans="1:17" x14ac:dyDescent="0.35">
      <c r="A148">
        <v>7</v>
      </c>
      <c r="B148" t="s">
        <v>301</v>
      </c>
      <c r="C148" t="s">
        <v>286</v>
      </c>
      <c r="D148">
        <v>14</v>
      </c>
      <c r="E148">
        <v>2.4</v>
      </c>
      <c r="F148">
        <v>1.74</v>
      </c>
      <c r="G148">
        <v>2.2000000000000002</v>
      </c>
      <c r="H148">
        <v>1</v>
      </c>
      <c r="I148" s="3">
        <v>0</v>
      </c>
      <c r="J148">
        <f t="shared" si="7"/>
        <v>0</v>
      </c>
      <c r="K148">
        <f t="shared" si="7"/>
        <v>0</v>
      </c>
      <c r="L148">
        <f t="shared" si="7"/>
        <v>0</v>
      </c>
      <c r="M148">
        <f t="shared" si="7"/>
        <v>0</v>
      </c>
      <c r="N148">
        <f t="shared" si="7"/>
        <v>0</v>
      </c>
      <c r="O148">
        <f t="shared" si="7"/>
        <v>0</v>
      </c>
      <c r="P148">
        <f t="shared" si="7"/>
        <v>1</v>
      </c>
      <c r="Q148" t="str">
        <f t="shared" si="8"/>
        <v>Pence, Hunter - $14</v>
      </c>
    </row>
    <row r="149" spans="1:17" x14ac:dyDescent="0.35">
      <c r="A149">
        <v>7</v>
      </c>
      <c r="B149" t="s">
        <v>139</v>
      </c>
      <c r="C149" t="s">
        <v>278</v>
      </c>
      <c r="D149">
        <v>14</v>
      </c>
      <c r="E149">
        <v>3</v>
      </c>
      <c r="F149">
        <v>2.12</v>
      </c>
      <c r="G149">
        <v>3.2</v>
      </c>
      <c r="H149">
        <v>0.8</v>
      </c>
      <c r="I149" s="3">
        <v>0</v>
      </c>
      <c r="J149">
        <f t="shared" si="7"/>
        <v>0</v>
      </c>
      <c r="K149">
        <f t="shared" si="7"/>
        <v>0</v>
      </c>
      <c r="L149">
        <f t="shared" si="7"/>
        <v>0</v>
      </c>
      <c r="M149">
        <f t="shared" si="7"/>
        <v>0</v>
      </c>
      <c r="N149">
        <f t="shared" si="7"/>
        <v>0</v>
      </c>
      <c r="O149">
        <f t="shared" si="7"/>
        <v>0</v>
      </c>
      <c r="P149">
        <f t="shared" si="7"/>
        <v>1</v>
      </c>
      <c r="Q149" t="str">
        <f t="shared" si="8"/>
        <v>Grossman, Robbie - $14</v>
      </c>
    </row>
    <row r="150" spans="1:17" x14ac:dyDescent="0.35">
      <c r="A150">
        <v>7</v>
      </c>
      <c r="B150" t="s">
        <v>27</v>
      </c>
      <c r="C150" t="s">
        <v>256</v>
      </c>
      <c r="D150">
        <v>14</v>
      </c>
      <c r="E150">
        <v>2.2000000000000002</v>
      </c>
      <c r="F150">
        <v>1.56</v>
      </c>
      <c r="G150">
        <v>2</v>
      </c>
      <c r="H150">
        <v>0.8</v>
      </c>
      <c r="I150" s="3">
        <v>0</v>
      </c>
      <c r="J150">
        <f t="shared" si="7"/>
        <v>0</v>
      </c>
      <c r="K150">
        <f t="shared" si="7"/>
        <v>0</v>
      </c>
      <c r="L150">
        <f t="shared" si="7"/>
        <v>0</v>
      </c>
      <c r="M150">
        <f t="shared" si="7"/>
        <v>0</v>
      </c>
      <c r="N150">
        <f t="shared" si="7"/>
        <v>0</v>
      </c>
      <c r="O150">
        <f t="shared" si="7"/>
        <v>0</v>
      </c>
      <c r="P150">
        <f t="shared" si="7"/>
        <v>1</v>
      </c>
      <c r="Q150" t="str">
        <f t="shared" si="8"/>
        <v>Gomez, Carlos - $14</v>
      </c>
    </row>
    <row r="151" spans="1:17" x14ac:dyDescent="0.35">
      <c r="A151">
        <v>7</v>
      </c>
      <c r="B151" t="s">
        <v>216</v>
      </c>
      <c r="C151" t="s">
        <v>257</v>
      </c>
      <c r="D151">
        <v>14</v>
      </c>
      <c r="E151">
        <v>4.4000000000000004</v>
      </c>
      <c r="F151">
        <v>3.16</v>
      </c>
      <c r="G151">
        <v>4.4000000000000004</v>
      </c>
      <c r="H151">
        <v>3.5</v>
      </c>
      <c r="I151" s="3">
        <v>0</v>
      </c>
      <c r="J151">
        <f t="shared" si="7"/>
        <v>0</v>
      </c>
      <c r="K151">
        <f t="shared" si="7"/>
        <v>0</v>
      </c>
      <c r="L151">
        <f t="shared" si="7"/>
        <v>0</v>
      </c>
      <c r="M151">
        <f t="shared" si="7"/>
        <v>0</v>
      </c>
      <c r="N151">
        <f t="shared" si="7"/>
        <v>0</v>
      </c>
      <c r="O151">
        <f t="shared" si="7"/>
        <v>0</v>
      </c>
      <c r="P151">
        <f t="shared" si="7"/>
        <v>1</v>
      </c>
      <c r="Q151" t="str">
        <f t="shared" si="8"/>
        <v>Chisenhall, Lonnie - $14</v>
      </c>
    </row>
    <row r="152" spans="1:17" x14ac:dyDescent="0.35">
      <c r="A152">
        <v>3</v>
      </c>
      <c r="B152" t="s">
        <v>25</v>
      </c>
      <c r="C152" t="s">
        <v>265</v>
      </c>
      <c r="D152">
        <v>14</v>
      </c>
      <c r="E152">
        <v>2.1</v>
      </c>
      <c r="F152">
        <v>1.47</v>
      </c>
      <c r="G152">
        <v>1.5</v>
      </c>
      <c r="H152">
        <v>3.5</v>
      </c>
      <c r="I152" s="3">
        <v>0</v>
      </c>
      <c r="J152">
        <f t="shared" si="7"/>
        <v>0</v>
      </c>
      <c r="K152">
        <f t="shared" si="7"/>
        <v>0</v>
      </c>
      <c r="L152">
        <f t="shared" si="7"/>
        <v>1</v>
      </c>
      <c r="M152">
        <f t="shared" si="7"/>
        <v>0</v>
      </c>
      <c r="N152">
        <f t="shared" si="7"/>
        <v>0</v>
      </c>
      <c r="O152">
        <f t="shared" si="7"/>
        <v>0</v>
      </c>
      <c r="P152">
        <f t="shared" si="7"/>
        <v>0</v>
      </c>
      <c r="Q152" t="str">
        <f t="shared" si="8"/>
        <v>Gonzalez, Adrian - $14</v>
      </c>
    </row>
    <row r="153" spans="1:17" x14ac:dyDescent="0.35">
      <c r="A153">
        <v>4</v>
      </c>
      <c r="B153" t="s">
        <v>330</v>
      </c>
      <c r="C153" t="s">
        <v>270</v>
      </c>
      <c r="D153">
        <v>14</v>
      </c>
      <c r="E153">
        <v>2.4</v>
      </c>
      <c r="F153">
        <v>1.72</v>
      </c>
      <c r="G153">
        <v>3.1</v>
      </c>
      <c r="H153">
        <v>8.5</v>
      </c>
      <c r="I153" s="3">
        <v>0</v>
      </c>
      <c r="J153">
        <f t="shared" si="7"/>
        <v>0</v>
      </c>
      <c r="K153">
        <f t="shared" si="7"/>
        <v>0</v>
      </c>
      <c r="L153">
        <f t="shared" si="7"/>
        <v>0</v>
      </c>
      <c r="M153">
        <f t="shared" si="7"/>
        <v>1</v>
      </c>
      <c r="N153">
        <f t="shared" si="7"/>
        <v>0</v>
      </c>
      <c r="O153">
        <f t="shared" si="7"/>
        <v>0</v>
      </c>
      <c r="P153">
        <f t="shared" si="7"/>
        <v>0</v>
      </c>
      <c r="Q153" t="str">
        <f t="shared" si="8"/>
        <v>Walker, Neil - $14</v>
      </c>
    </row>
    <row r="154" spans="1:17" x14ac:dyDescent="0.35">
      <c r="A154">
        <v>2</v>
      </c>
      <c r="B154" t="s">
        <v>218</v>
      </c>
      <c r="C154" t="s">
        <v>279</v>
      </c>
      <c r="D154">
        <v>14</v>
      </c>
      <c r="E154">
        <v>3.2</v>
      </c>
      <c r="F154">
        <v>2.2799999999999998</v>
      </c>
      <c r="G154">
        <v>3.4</v>
      </c>
      <c r="H154">
        <v>4</v>
      </c>
      <c r="I154" s="3">
        <v>0</v>
      </c>
      <c r="J154">
        <f t="shared" si="7"/>
        <v>0</v>
      </c>
      <c r="K154">
        <f t="shared" si="7"/>
        <v>1</v>
      </c>
      <c r="L154">
        <f t="shared" si="7"/>
        <v>0</v>
      </c>
      <c r="M154">
        <f t="shared" si="7"/>
        <v>0</v>
      </c>
      <c r="N154">
        <f t="shared" si="7"/>
        <v>0</v>
      </c>
      <c r="O154">
        <f t="shared" si="7"/>
        <v>0</v>
      </c>
      <c r="P154">
        <f t="shared" si="7"/>
        <v>0</v>
      </c>
      <c r="Q154" t="str">
        <f t="shared" si="8"/>
        <v>Gattis, Evan - $14</v>
      </c>
    </row>
    <row r="155" spans="1:17" x14ac:dyDescent="0.35">
      <c r="A155">
        <v>7</v>
      </c>
      <c r="B155" t="s">
        <v>213</v>
      </c>
      <c r="C155" t="s">
        <v>299</v>
      </c>
      <c r="D155">
        <v>14</v>
      </c>
      <c r="E155">
        <v>2</v>
      </c>
      <c r="F155">
        <v>1.45</v>
      </c>
      <c r="G155">
        <v>2.2999999999999998</v>
      </c>
      <c r="H155">
        <v>1</v>
      </c>
      <c r="I155" s="3">
        <v>0</v>
      </c>
      <c r="J155">
        <f t="shared" si="7"/>
        <v>0</v>
      </c>
      <c r="K155">
        <f t="shared" si="7"/>
        <v>0</v>
      </c>
      <c r="L155">
        <f t="shared" si="7"/>
        <v>0</v>
      </c>
      <c r="M155">
        <f t="shared" si="7"/>
        <v>0</v>
      </c>
      <c r="N155">
        <f t="shared" si="7"/>
        <v>0</v>
      </c>
      <c r="O155">
        <f t="shared" si="7"/>
        <v>0</v>
      </c>
      <c r="P155">
        <f t="shared" si="7"/>
        <v>1</v>
      </c>
      <c r="Q155" t="str">
        <f t="shared" si="8"/>
        <v>Grichuk, Randal - $14</v>
      </c>
    </row>
    <row r="156" spans="1:17" x14ac:dyDescent="0.35">
      <c r="A156">
        <v>7</v>
      </c>
      <c r="B156" t="s">
        <v>197</v>
      </c>
      <c r="C156" t="s">
        <v>299</v>
      </c>
      <c r="D156">
        <v>14</v>
      </c>
      <c r="E156">
        <v>2.2000000000000002</v>
      </c>
      <c r="F156">
        <v>1.61</v>
      </c>
      <c r="G156">
        <v>2.6</v>
      </c>
      <c r="H156">
        <v>4.8</v>
      </c>
      <c r="I156" s="3">
        <v>0</v>
      </c>
      <c r="J156">
        <f t="shared" si="7"/>
        <v>0</v>
      </c>
      <c r="K156">
        <f t="shared" si="7"/>
        <v>0</v>
      </c>
      <c r="L156">
        <f t="shared" si="7"/>
        <v>0</v>
      </c>
      <c r="M156">
        <f t="shared" si="7"/>
        <v>0</v>
      </c>
      <c r="N156">
        <f t="shared" si="7"/>
        <v>0</v>
      </c>
      <c r="O156">
        <f t="shared" si="7"/>
        <v>0</v>
      </c>
      <c r="P156">
        <f t="shared" si="7"/>
        <v>1</v>
      </c>
      <c r="Q156" t="str">
        <f t="shared" si="8"/>
        <v>Piscotty, Stephen - $14</v>
      </c>
    </row>
    <row r="157" spans="1:17" x14ac:dyDescent="0.35">
      <c r="A157">
        <v>6</v>
      </c>
      <c r="B157" t="s">
        <v>160</v>
      </c>
      <c r="C157" t="s">
        <v>284</v>
      </c>
      <c r="D157">
        <v>14</v>
      </c>
      <c r="E157">
        <v>2.6</v>
      </c>
      <c r="F157">
        <v>1.86</v>
      </c>
      <c r="G157">
        <v>2.7</v>
      </c>
      <c r="H157">
        <v>5.8</v>
      </c>
      <c r="I157" s="3">
        <v>0</v>
      </c>
      <c r="J157">
        <f t="shared" si="7"/>
        <v>0</v>
      </c>
      <c r="K157">
        <f t="shared" si="7"/>
        <v>0</v>
      </c>
      <c r="L157">
        <f t="shared" si="7"/>
        <v>0</v>
      </c>
      <c r="M157">
        <f t="shared" si="7"/>
        <v>0</v>
      </c>
      <c r="N157">
        <f t="shared" si="7"/>
        <v>0</v>
      </c>
      <c r="O157">
        <f t="shared" si="7"/>
        <v>1</v>
      </c>
      <c r="P157">
        <f t="shared" si="7"/>
        <v>0</v>
      </c>
      <c r="Q157" t="str">
        <f t="shared" si="8"/>
        <v>Bogaerts, Xander - $14</v>
      </c>
    </row>
    <row r="158" spans="1:17" x14ac:dyDescent="0.35">
      <c r="A158">
        <v>2</v>
      </c>
      <c r="B158" t="s">
        <v>19</v>
      </c>
      <c r="C158" t="s">
        <v>294</v>
      </c>
      <c r="D158">
        <v>14</v>
      </c>
      <c r="E158">
        <v>2.2000000000000002</v>
      </c>
      <c r="F158">
        <v>1.6</v>
      </c>
      <c r="G158">
        <v>1.7</v>
      </c>
      <c r="H158">
        <v>-1</v>
      </c>
      <c r="I158" s="3">
        <v>0</v>
      </c>
      <c r="J158">
        <f t="shared" si="7"/>
        <v>0</v>
      </c>
      <c r="K158">
        <f t="shared" si="7"/>
        <v>1</v>
      </c>
      <c r="L158">
        <f t="shared" si="7"/>
        <v>0</v>
      </c>
      <c r="M158">
        <f t="shared" si="7"/>
        <v>0</v>
      </c>
      <c r="N158">
        <f t="shared" si="7"/>
        <v>0</v>
      </c>
      <c r="O158">
        <f t="shared" si="7"/>
        <v>0</v>
      </c>
      <c r="P158">
        <f t="shared" si="7"/>
        <v>0</v>
      </c>
      <c r="Q158" t="str">
        <f t="shared" si="8"/>
        <v>Contreras, Willson - $14</v>
      </c>
    </row>
    <row r="159" spans="1:17" x14ac:dyDescent="0.35">
      <c r="A159">
        <v>5</v>
      </c>
      <c r="B159" t="s">
        <v>360</v>
      </c>
      <c r="C159" t="s">
        <v>260</v>
      </c>
      <c r="D159">
        <v>14</v>
      </c>
      <c r="E159">
        <v>1.6</v>
      </c>
      <c r="F159">
        <v>1.1200000000000001</v>
      </c>
      <c r="G159">
        <v>2.2999999999999998</v>
      </c>
      <c r="H159">
        <v>3.2</v>
      </c>
      <c r="I159" s="3">
        <v>0</v>
      </c>
      <c r="J159">
        <f t="shared" si="7"/>
        <v>0</v>
      </c>
      <c r="K159">
        <f t="shared" si="7"/>
        <v>0</v>
      </c>
      <c r="L159">
        <f t="shared" si="7"/>
        <v>0</v>
      </c>
      <c r="M159">
        <f t="shared" si="7"/>
        <v>0</v>
      </c>
      <c r="N159">
        <f t="shared" si="7"/>
        <v>1</v>
      </c>
      <c r="O159">
        <f t="shared" si="7"/>
        <v>0</v>
      </c>
      <c r="P159">
        <f t="shared" si="7"/>
        <v>0</v>
      </c>
      <c r="Q159" t="str">
        <f t="shared" si="8"/>
        <v>Rendon, Anthony - $14</v>
      </c>
    </row>
    <row r="160" spans="1:17" x14ac:dyDescent="0.35">
      <c r="A160">
        <v>4</v>
      </c>
      <c r="B160" t="s">
        <v>401</v>
      </c>
      <c r="C160" t="s">
        <v>291</v>
      </c>
      <c r="D160">
        <v>14</v>
      </c>
      <c r="E160">
        <v>2.5</v>
      </c>
      <c r="F160">
        <v>1.76</v>
      </c>
      <c r="G160">
        <v>2.5</v>
      </c>
      <c r="H160">
        <v>1.5</v>
      </c>
      <c r="I160" s="3">
        <v>0</v>
      </c>
      <c r="J160">
        <f t="shared" si="7"/>
        <v>0</v>
      </c>
      <c r="K160">
        <f t="shared" si="7"/>
        <v>0</v>
      </c>
      <c r="L160">
        <f t="shared" si="7"/>
        <v>0</v>
      </c>
      <c r="M160">
        <f t="shared" si="7"/>
        <v>1</v>
      </c>
      <c r="N160">
        <f t="shared" si="7"/>
        <v>0</v>
      </c>
      <c r="O160">
        <f t="shared" si="7"/>
        <v>0</v>
      </c>
      <c r="P160">
        <f t="shared" si="7"/>
        <v>0</v>
      </c>
      <c r="Q160" t="str">
        <f t="shared" si="8"/>
        <v>Merrifield, Whit - $14</v>
      </c>
    </row>
    <row r="161" spans="1:17" x14ac:dyDescent="0.35">
      <c r="A161">
        <v>5</v>
      </c>
      <c r="B161" t="s">
        <v>388</v>
      </c>
      <c r="C161" t="s">
        <v>258</v>
      </c>
      <c r="D161">
        <v>14</v>
      </c>
      <c r="E161">
        <v>3</v>
      </c>
      <c r="F161">
        <v>2.14</v>
      </c>
      <c r="G161">
        <v>3</v>
      </c>
      <c r="H161">
        <v>1</v>
      </c>
      <c r="I161" s="3">
        <v>0</v>
      </c>
      <c r="J161">
        <f t="shared" si="7"/>
        <v>0</v>
      </c>
      <c r="K161">
        <f t="shared" si="7"/>
        <v>0</v>
      </c>
      <c r="L161">
        <f t="shared" si="7"/>
        <v>0</v>
      </c>
      <c r="M161">
        <f t="shared" si="7"/>
        <v>0</v>
      </c>
      <c r="N161">
        <f t="shared" si="7"/>
        <v>1</v>
      </c>
      <c r="O161">
        <f t="shared" si="7"/>
        <v>0</v>
      </c>
      <c r="P161">
        <f t="shared" si="7"/>
        <v>0</v>
      </c>
      <c r="Q161" t="str">
        <f t="shared" si="8"/>
        <v>Prado, Martin - $14</v>
      </c>
    </row>
    <row r="162" spans="1:17" x14ac:dyDescent="0.35">
      <c r="A162">
        <v>7</v>
      </c>
      <c r="B162" t="s">
        <v>43</v>
      </c>
      <c r="C162" t="s">
        <v>273</v>
      </c>
      <c r="D162">
        <v>13</v>
      </c>
      <c r="E162">
        <v>4.2</v>
      </c>
      <c r="F162">
        <v>3.22</v>
      </c>
      <c r="G162">
        <v>4.9000000000000004</v>
      </c>
      <c r="H162">
        <v>0.2</v>
      </c>
      <c r="I162" s="3">
        <v>1</v>
      </c>
      <c r="J162">
        <f t="shared" si="7"/>
        <v>0</v>
      </c>
      <c r="K162">
        <f t="shared" si="7"/>
        <v>0</v>
      </c>
      <c r="L162">
        <f t="shared" si="7"/>
        <v>0</v>
      </c>
      <c r="M162">
        <f t="shared" si="7"/>
        <v>0</v>
      </c>
      <c r="N162">
        <f t="shared" si="7"/>
        <v>0</v>
      </c>
      <c r="O162">
        <f t="shared" si="7"/>
        <v>0</v>
      </c>
      <c r="P162">
        <f t="shared" si="7"/>
        <v>1</v>
      </c>
      <c r="Q162" t="str">
        <f t="shared" si="8"/>
        <v>Judge, Aaron - $13</v>
      </c>
    </row>
    <row r="163" spans="1:17" x14ac:dyDescent="0.35">
      <c r="A163">
        <v>6</v>
      </c>
      <c r="B163" t="s">
        <v>203</v>
      </c>
      <c r="C163" t="s">
        <v>261</v>
      </c>
      <c r="D163">
        <v>13</v>
      </c>
      <c r="E163">
        <v>4</v>
      </c>
      <c r="F163">
        <v>3.05</v>
      </c>
      <c r="G163">
        <v>5</v>
      </c>
      <c r="H163">
        <v>4.5</v>
      </c>
      <c r="I163" s="3">
        <v>0</v>
      </c>
      <c r="J163">
        <f t="shared" ref="J163:P199" si="9">IFERROR(IF(SEARCH(J$1,$A163)=1,1,0),0)</f>
        <v>0</v>
      </c>
      <c r="K163">
        <f t="shared" si="9"/>
        <v>0</v>
      </c>
      <c r="L163">
        <f t="shared" si="9"/>
        <v>0</v>
      </c>
      <c r="M163">
        <f t="shared" si="9"/>
        <v>0</v>
      </c>
      <c r="N163">
        <f t="shared" si="9"/>
        <v>0</v>
      </c>
      <c r="O163">
        <f t="shared" si="9"/>
        <v>1</v>
      </c>
      <c r="P163">
        <f t="shared" si="9"/>
        <v>0</v>
      </c>
      <c r="Q163" t="str">
        <f t="shared" si="8"/>
        <v>Motter, Taylor - $13</v>
      </c>
    </row>
    <row r="164" spans="1:17" x14ac:dyDescent="0.35">
      <c r="A164">
        <v>7</v>
      </c>
      <c r="B164" t="s">
        <v>68</v>
      </c>
      <c r="C164" t="s">
        <v>273</v>
      </c>
      <c r="D164">
        <v>13</v>
      </c>
      <c r="E164">
        <v>3.4</v>
      </c>
      <c r="F164">
        <v>2.6</v>
      </c>
      <c r="G164">
        <v>3.5</v>
      </c>
      <c r="H164">
        <v>8</v>
      </c>
      <c r="I164" s="3">
        <v>0</v>
      </c>
      <c r="J164">
        <f t="shared" si="9"/>
        <v>0</v>
      </c>
      <c r="K164">
        <f t="shared" si="9"/>
        <v>0</v>
      </c>
      <c r="L164">
        <f t="shared" si="9"/>
        <v>0</v>
      </c>
      <c r="M164">
        <f t="shared" si="9"/>
        <v>0</v>
      </c>
      <c r="N164">
        <f t="shared" si="9"/>
        <v>0</v>
      </c>
      <c r="O164">
        <f t="shared" si="9"/>
        <v>0</v>
      </c>
      <c r="P164">
        <f t="shared" si="9"/>
        <v>1</v>
      </c>
      <c r="Q164" t="str">
        <f t="shared" si="8"/>
        <v>Ellsbury, Jacoby - $13</v>
      </c>
    </row>
    <row r="165" spans="1:17" x14ac:dyDescent="0.35">
      <c r="A165">
        <v>2</v>
      </c>
      <c r="B165" t="s">
        <v>114</v>
      </c>
      <c r="C165" t="s">
        <v>258</v>
      </c>
      <c r="D165">
        <v>13</v>
      </c>
      <c r="E165">
        <v>3.4</v>
      </c>
      <c r="F165">
        <v>2.6</v>
      </c>
      <c r="G165">
        <v>1.5</v>
      </c>
      <c r="H165">
        <v>4</v>
      </c>
      <c r="I165" s="3">
        <v>0</v>
      </c>
      <c r="J165">
        <f t="shared" si="9"/>
        <v>0</v>
      </c>
      <c r="K165">
        <f t="shared" si="9"/>
        <v>1</v>
      </c>
      <c r="L165">
        <f t="shared" si="9"/>
        <v>0</v>
      </c>
      <c r="M165">
        <f t="shared" si="9"/>
        <v>0</v>
      </c>
      <c r="N165">
        <f t="shared" si="9"/>
        <v>0</v>
      </c>
      <c r="O165">
        <f t="shared" si="9"/>
        <v>0</v>
      </c>
      <c r="P165">
        <f t="shared" si="9"/>
        <v>0</v>
      </c>
      <c r="Q165" t="str">
        <f t="shared" si="8"/>
        <v>Realmuto, J.T. - $13</v>
      </c>
    </row>
    <row r="166" spans="1:17" x14ac:dyDescent="0.35">
      <c r="A166">
        <v>3</v>
      </c>
      <c r="B166" t="s">
        <v>64</v>
      </c>
      <c r="C166" t="s">
        <v>275</v>
      </c>
      <c r="D166">
        <v>13</v>
      </c>
      <c r="E166">
        <v>2.5</v>
      </c>
      <c r="F166">
        <v>1.94</v>
      </c>
      <c r="G166">
        <v>2.2999999999999998</v>
      </c>
      <c r="H166">
        <v>-0.5</v>
      </c>
      <c r="I166" s="3">
        <v>0</v>
      </c>
      <c r="J166">
        <f t="shared" si="9"/>
        <v>0</v>
      </c>
      <c r="K166">
        <f t="shared" si="9"/>
        <v>0</v>
      </c>
      <c r="L166">
        <f t="shared" si="9"/>
        <v>1</v>
      </c>
      <c r="M166">
        <f t="shared" si="9"/>
        <v>0</v>
      </c>
      <c r="N166">
        <f t="shared" si="9"/>
        <v>0</v>
      </c>
      <c r="O166">
        <f t="shared" si="9"/>
        <v>0</v>
      </c>
      <c r="P166">
        <f t="shared" si="9"/>
        <v>0</v>
      </c>
      <c r="Q166" t="str">
        <f t="shared" si="8"/>
        <v>Pujols, Albert - $13</v>
      </c>
    </row>
    <row r="167" spans="1:17" x14ac:dyDescent="0.35">
      <c r="A167">
        <v>5</v>
      </c>
      <c r="B167" t="s">
        <v>53</v>
      </c>
      <c r="C167" t="s">
        <v>275</v>
      </c>
      <c r="D167">
        <v>13</v>
      </c>
      <c r="E167">
        <v>2.4</v>
      </c>
      <c r="F167">
        <v>1.86</v>
      </c>
      <c r="G167">
        <v>1.2</v>
      </c>
      <c r="H167">
        <v>0</v>
      </c>
      <c r="I167" s="3">
        <v>0</v>
      </c>
      <c r="J167">
        <f t="shared" si="9"/>
        <v>0</v>
      </c>
      <c r="K167">
        <f t="shared" si="9"/>
        <v>0</v>
      </c>
      <c r="L167">
        <f t="shared" si="9"/>
        <v>0</v>
      </c>
      <c r="M167">
        <f t="shared" si="9"/>
        <v>0</v>
      </c>
      <c r="N167">
        <f t="shared" si="9"/>
        <v>1</v>
      </c>
      <c r="O167">
        <f t="shared" si="9"/>
        <v>0</v>
      </c>
      <c r="P167">
        <f t="shared" si="9"/>
        <v>0</v>
      </c>
      <c r="Q167" t="str">
        <f t="shared" si="8"/>
        <v>Escobar, Yunel - $13</v>
      </c>
    </row>
    <row r="168" spans="1:17" x14ac:dyDescent="0.35">
      <c r="A168">
        <v>2</v>
      </c>
      <c r="B168" t="s">
        <v>196</v>
      </c>
      <c r="C168" t="s">
        <v>279</v>
      </c>
      <c r="D168">
        <v>13</v>
      </c>
      <c r="E168">
        <v>3.3</v>
      </c>
      <c r="F168">
        <v>2.5099999999999998</v>
      </c>
      <c r="G168">
        <v>3.2</v>
      </c>
      <c r="H168">
        <v>-0.8</v>
      </c>
      <c r="I168" s="3">
        <v>0</v>
      </c>
      <c r="J168">
        <f t="shared" si="9"/>
        <v>0</v>
      </c>
      <c r="K168">
        <f t="shared" si="9"/>
        <v>1</v>
      </c>
      <c r="L168">
        <f t="shared" si="9"/>
        <v>0</v>
      </c>
      <c r="M168">
        <f t="shared" si="9"/>
        <v>0</v>
      </c>
      <c r="N168">
        <f t="shared" si="9"/>
        <v>0</v>
      </c>
      <c r="O168">
        <f t="shared" si="9"/>
        <v>0</v>
      </c>
      <c r="P168">
        <f t="shared" si="9"/>
        <v>0</v>
      </c>
      <c r="Q168" t="str">
        <f t="shared" si="8"/>
        <v>McCann, Brian - $13</v>
      </c>
    </row>
    <row r="169" spans="1:17" x14ac:dyDescent="0.35">
      <c r="A169">
        <v>2</v>
      </c>
      <c r="B169" t="s">
        <v>297</v>
      </c>
      <c r="C169" t="s">
        <v>291</v>
      </c>
      <c r="D169">
        <v>13</v>
      </c>
      <c r="E169">
        <v>2.7</v>
      </c>
      <c r="F169">
        <v>2.0499999999999998</v>
      </c>
      <c r="G169">
        <v>1.6</v>
      </c>
      <c r="H169">
        <v>3.2</v>
      </c>
      <c r="I169" s="3">
        <v>0</v>
      </c>
      <c r="J169">
        <f t="shared" si="9"/>
        <v>0</v>
      </c>
      <c r="K169">
        <f t="shared" si="9"/>
        <v>1</v>
      </c>
      <c r="L169">
        <f t="shared" si="9"/>
        <v>0</v>
      </c>
      <c r="M169">
        <f t="shared" si="9"/>
        <v>0</v>
      </c>
      <c r="N169">
        <f t="shared" si="9"/>
        <v>0</v>
      </c>
      <c r="O169">
        <f t="shared" si="9"/>
        <v>0</v>
      </c>
      <c r="P169">
        <f t="shared" si="9"/>
        <v>0</v>
      </c>
      <c r="Q169" t="str">
        <f t="shared" si="8"/>
        <v>Perez, Salvador - $13</v>
      </c>
    </row>
    <row r="170" spans="1:17" x14ac:dyDescent="0.35">
      <c r="A170">
        <v>4</v>
      </c>
      <c r="B170" t="s">
        <v>223</v>
      </c>
      <c r="C170" t="s">
        <v>299</v>
      </c>
      <c r="D170">
        <v>13</v>
      </c>
      <c r="E170">
        <v>2.6</v>
      </c>
      <c r="F170">
        <v>2.0299999999999998</v>
      </c>
      <c r="G170">
        <v>3.2</v>
      </c>
      <c r="H170">
        <v>1.8</v>
      </c>
      <c r="I170" s="3">
        <v>0</v>
      </c>
      <c r="J170">
        <f t="shared" si="9"/>
        <v>0</v>
      </c>
      <c r="K170">
        <f t="shared" si="9"/>
        <v>0</v>
      </c>
      <c r="L170">
        <f t="shared" si="9"/>
        <v>0</v>
      </c>
      <c r="M170">
        <f t="shared" si="9"/>
        <v>1</v>
      </c>
      <c r="N170">
        <f t="shared" si="9"/>
        <v>0</v>
      </c>
      <c r="O170">
        <f t="shared" si="9"/>
        <v>0</v>
      </c>
      <c r="P170">
        <f t="shared" si="9"/>
        <v>0</v>
      </c>
      <c r="Q170" t="str">
        <f t="shared" si="8"/>
        <v>Wong, Kolten - $13</v>
      </c>
    </row>
    <row r="171" spans="1:17" x14ac:dyDescent="0.35">
      <c r="A171">
        <v>7</v>
      </c>
      <c r="B171" t="s">
        <v>361</v>
      </c>
      <c r="C171" t="s">
        <v>268</v>
      </c>
      <c r="D171">
        <v>13</v>
      </c>
      <c r="E171">
        <v>3.7</v>
      </c>
      <c r="F171">
        <v>2.82</v>
      </c>
      <c r="G171">
        <v>4.4000000000000004</v>
      </c>
      <c r="H171">
        <v>4.8</v>
      </c>
      <c r="I171" s="3">
        <v>1</v>
      </c>
      <c r="J171">
        <f t="shared" si="9"/>
        <v>0</v>
      </c>
      <c r="K171">
        <f t="shared" si="9"/>
        <v>0</v>
      </c>
      <c r="L171">
        <f t="shared" si="9"/>
        <v>0</v>
      </c>
      <c r="M171">
        <f t="shared" si="9"/>
        <v>0</v>
      </c>
      <c r="N171">
        <f t="shared" si="9"/>
        <v>0</v>
      </c>
      <c r="O171">
        <f t="shared" si="9"/>
        <v>0</v>
      </c>
      <c r="P171">
        <f t="shared" si="9"/>
        <v>1</v>
      </c>
      <c r="Q171" t="str">
        <f t="shared" si="8"/>
        <v>Altherr, Aaron - $13</v>
      </c>
    </row>
    <row r="172" spans="1:17" x14ac:dyDescent="0.35">
      <c r="A172">
        <v>7</v>
      </c>
      <c r="B172" t="s">
        <v>208</v>
      </c>
      <c r="C172" t="s">
        <v>279</v>
      </c>
      <c r="D172">
        <v>13</v>
      </c>
      <c r="E172">
        <v>2.6</v>
      </c>
      <c r="F172">
        <v>2.0299999999999998</v>
      </c>
      <c r="G172">
        <v>3.4</v>
      </c>
      <c r="H172">
        <v>7</v>
      </c>
      <c r="I172" s="3">
        <v>0</v>
      </c>
      <c r="J172">
        <f t="shared" si="9"/>
        <v>0</v>
      </c>
      <c r="K172">
        <f t="shared" si="9"/>
        <v>0</v>
      </c>
      <c r="L172">
        <f t="shared" si="9"/>
        <v>0</v>
      </c>
      <c r="M172">
        <f t="shared" si="9"/>
        <v>0</v>
      </c>
      <c r="N172">
        <f t="shared" si="9"/>
        <v>0</v>
      </c>
      <c r="O172">
        <f t="shared" si="9"/>
        <v>0</v>
      </c>
      <c r="P172">
        <f t="shared" si="9"/>
        <v>1</v>
      </c>
      <c r="Q172" t="str">
        <f t="shared" si="8"/>
        <v>Aoki, Norichika - $13</v>
      </c>
    </row>
    <row r="173" spans="1:17" x14ac:dyDescent="0.35">
      <c r="A173">
        <v>7</v>
      </c>
      <c r="B173" t="s">
        <v>62</v>
      </c>
      <c r="C173" t="s">
        <v>282</v>
      </c>
      <c r="D173">
        <v>13</v>
      </c>
      <c r="E173">
        <v>2.4</v>
      </c>
      <c r="F173">
        <v>1.88</v>
      </c>
      <c r="G173">
        <v>2.1</v>
      </c>
      <c r="H173">
        <v>1.5</v>
      </c>
      <c r="I173" s="3">
        <v>0</v>
      </c>
      <c r="J173">
        <f t="shared" si="9"/>
        <v>0</v>
      </c>
      <c r="K173">
        <f t="shared" si="9"/>
        <v>0</v>
      </c>
      <c r="L173">
        <f t="shared" si="9"/>
        <v>0</v>
      </c>
      <c r="M173">
        <f t="shared" si="9"/>
        <v>0</v>
      </c>
      <c r="N173">
        <f t="shared" si="9"/>
        <v>0</v>
      </c>
      <c r="O173">
        <f t="shared" si="9"/>
        <v>0</v>
      </c>
      <c r="P173">
        <f t="shared" si="9"/>
        <v>1</v>
      </c>
      <c r="Q173" t="str">
        <f t="shared" si="8"/>
        <v>Cabrera, Melky - $13</v>
      </c>
    </row>
    <row r="174" spans="1:17" x14ac:dyDescent="0.35">
      <c r="A174">
        <v>2</v>
      </c>
      <c r="B174" t="s">
        <v>127</v>
      </c>
      <c r="C174" t="s">
        <v>308</v>
      </c>
      <c r="D174">
        <v>13</v>
      </c>
      <c r="E174">
        <v>2</v>
      </c>
      <c r="F174">
        <v>1.57</v>
      </c>
      <c r="G174">
        <v>1.6</v>
      </c>
      <c r="H174">
        <v>0</v>
      </c>
      <c r="I174" s="3">
        <v>0</v>
      </c>
      <c r="J174">
        <f t="shared" si="9"/>
        <v>0</v>
      </c>
      <c r="K174">
        <f t="shared" si="9"/>
        <v>1</v>
      </c>
      <c r="L174">
        <f t="shared" si="9"/>
        <v>0</v>
      </c>
      <c r="M174">
        <f t="shared" si="9"/>
        <v>0</v>
      </c>
      <c r="N174">
        <f t="shared" si="9"/>
        <v>0</v>
      </c>
      <c r="O174">
        <f t="shared" si="9"/>
        <v>0</v>
      </c>
      <c r="P174">
        <f t="shared" si="9"/>
        <v>0</v>
      </c>
      <c r="Q174" t="str">
        <f t="shared" si="8"/>
        <v>Cervelli, Francisco - $13</v>
      </c>
    </row>
    <row r="175" spans="1:17" x14ac:dyDescent="0.35">
      <c r="A175">
        <v>5</v>
      </c>
      <c r="B175" t="s">
        <v>207</v>
      </c>
      <c r="C175" t="s">
        <v>279</v>
      </c>
      <c r="D175">
        <v>13</v>
      </c>
      <c r="E175">
        <v>1.9</v>
      </c>
      <c r="F175">
        <v>1.45</v>
      </c>
      <c r="G175">
        <v>2.4</v>
      </c>
      <c r="H175">
        <v>1</v>
      </c>
      <c r="I175" s="3">
        <v>0</v>
      </c>
      <c r="J175">
        <f t="shared" si="9"/>
        <v>0</v>
      </c>
      <c r="K175">
        <f t="shared" si="9"/>
        <v>0</v>
      </c>
      <c r="L175">
        <f t="shared" si="9"/>
        <v>0</v>
      </c>
      <c r="M175">
        <f t="shared" si="9"/>
        <v>0</v>
      </c>
      <c r="N175">
        <f t="shared" si="9"/>
        <v>1</v>
      </c>
      <c r="O175">
        <f t="shared" si="9"/>
        <v>0</v>
      </c>
      <c r="P175">
        <f t="shared" si="9"/>
        <v>0</v>
      </c>
      <c r="Q175" t="str">
        <f t="shared" si="8"/>
        <v>Bregman, Alex - $13</v>
      </c>
    </row>
    <row r="176" spans="1:17" x14ac:dyDescent="0.35">
      <c r="A176">
        <v>7</v>
      </c>
      <c r="B176" t="s">
        <v>221</v>
      </c>
      <c r="C176" t="s">
        <v>299</v>
      </c>
      <c r="D176">
        <v>13</v>
      </c>
      <c r="E176">
        <v>2</v>
      </c>
      <c r="F176">
        <v>1.51</v>
      </c>
      <c r="G176">
        <v>2.2999999999999998</v>
      </c>
      <c r="H176">
        <v>5.2</v>
      </c>
      <c r="I176" s="3">
        <v>0</v>
      </c>
      <c r="J176">
        <f t="shared" si="9"/>
        <v>0</v>
      </c>
      <c r="K176">
        <f t="shared" si="9"/>
        <v>0</v>
      </c>
      <c r="L176">
        <f t="shared" si="9"/>
        <v>0</v>
      </c>
      <c r="M176">
        <f t="shared" si="9"/>
        <v>0</v>
      </c>
      <c r="N176">
        <f t="shared" si="9"/>
        <v>0</v>
      </c>
      <c r="O176">
        <f t="shared" si="9"/>
        <v>0</v>
      </c>
      <c r="P176">
        <f t="shared" si="9"/>
        <v>1</v>
      </c>
      <c r="Q176" t="str">
        <f t="shared" si="8"/>
        <v>Fowler, Dexter - $13</v>
      </c>
    </row>
    <row r="177" spans="1:17" x14ac:dyDescent="0.35">
      <c r="A177">
        <v>2</v>
      </c>
      <c r="B177" t="s">
        <v>11</v>
      </c>
      <c r="C177" t="s">
        <v>265</v>
      </c>
      <c r="D177">
        <v>13</v>
      </c>
      <c r="E177">
        <v>2</v>
      </c>
      <c r="F177">
        <v>1.53</v>
      </c>
      <c r="G177">
        <v>1.5</v>
      </c>
      <c r="H177">
        <v>0</v>
      </c>
      <c r="I177" s="3">
        <v>0</v>
      </c>
      <c r="J177">
        <f t="shared" si="9"/>
        <v>0</v>
      </c>
      <c r="K177">
        <f t="shared" si="9"/>
        <v>1</v>
      </c>
      <c r="L177">
        <f t="shared" si="9"/>
        <v>0</v>
      </c>
      <c r="M177">
        <f t="shared" si="9"/>
        <v>0</v>
      </c>
      <c r="N177">
        <f t="shared" si="9"/>
        <v>0</v>
      </c>
      <c r="O177">
        <f t="shared" si="9"/>
        <v>0</v>
      </c>
      <c r="P177">
        <f t="shared" si="9"/>
        <v>0</v>
      </c>
      <c r="Q177" t="str">
        <f t="shared" si="8"/>
        <v>Grandal, Yasmani - $13</v>
      </c>
    </row>
    <row r="178" spans="1:17" x14ac:dyDescent="0.35">
      <c r="A178">
        <v>7</v>
      </c>
      <c r="B178" t="s">
        <v>211</v>
      </c>
      <c r="C178" t="s">
        <v>279</v>
      </c>
      <c r="D178">
        <v>13</v>
      </c>
      <c r="E178">
        <v>1.9</v>
      </c>
      <c r="F178">
        <v>1.43</v>
      </c>
      <c r="G178">
        <v>2.5</v>
      </c>
      <c r="H178">
        <v>-1.5</v>
      </c>
      <c r="I178" s="3">
        <v>0</v>
      </c>
      <c r="J178">
        <f t="shared" si="9"/>
        <v>0</v>
      </c>
      <c r="K178">
        <f t="shared" si="9"/>
        <v>0</v>
      </c>
      <c r="L178">
        <f t="shared" si="9"/>
        <v>0</v>
      </c>
      <c r="M178">
        <f t="shared" si="9"/>
        <v>0</v>
      </c>
      <c r="N178">
        <f t="shared" si="9"/>
        <v>0</v>
      </c>
      <c r="O178">
        <f t="shared" si="9"/>
        <v>0</v>
      </c>
      <c r="P178">
        <f t="shared" si="9"/>
        <v>1</v>
      </c>
      <c r="Q178" t="str">
        <f t="shared" si="8"/>
        <v>Beltran, Carlos - $13</v>
      </c>
    </row>
    <row r="179" spans="1:17" x14ac:dyDescent="0.35">
      <c r="A179">
        <v>2</v>
      </c>
      <c r="B179" t="s">
        <v>357</v>
      </c>
      <c r="C179" t="s">
        <v>277</v>
      </c>
      <c r="D179">
        <v>13</v>
      </c>
      <c r="E179">
        <v>2.7</v>
      </c>
      <c r="F179">
        <v>2.04</v>
      </c>
      <c r="G179">
        <v>2.9</v>
      </c>
      <c r="H179">
        <v>7.5</v>
      </c>
      <c r="I179" s="3">
        <v>0</v>
      </c>
      <c r="J179">
        <f t="shared" si="9"/>
        <v>0</v>
      </c>
      <c r="K179">
        <f t="shared" si="9"/>
        <v>1</v>
      </c>
      <c r="L179">
        <f t="shared" si="9"/>
        <v>0</v>
      </c>
      <c r="M179">
        <f t="shared" si="9"/>
        <v>0</v>
      </c>
      <c r="N179">
        <f t="shared" si="9"/>
        <v>0</v>
      </c>
      <c r="O179">
        <f t="shared" si="9"/>
        <v>0</v>
      </c>
      <c r="P179">
        <f t="shared" si="9"/>
        <v>0</v>
      </c>
      <c r="Q179" t="str">
        <f t="shared" si="8"/>
        <v>Wolters, Tony - $13</v>
      </c>
    </row>
    <row r="180" spans="1:17" x14ac:dyDescent="0.35">
      <c r="A180">
        <v>5</v>
      </c>
      <c r="B180" t="s">
        <v>58</v>
      </c>
      <c r="C180" t="s">
        <v>294</v>
      </c>
      <c r="D180">
        <v>13</v>
      </c>
      <c r="E180">
        <v>1.4</v>
      </c>
      <c r="F180">
        <v>1.1000000000000001</v>
      </c>
      <c r="G180">
        <v>1.6</v>
      </c>
      <c r="H180">
        <v>0</v>
      </c>
      <c r="I180" s="3">
        <v>0</v>
      </c>
      <c r="J180">
        <f t="shared" si="9"/>
        <v>0</v>
      </c>
      <c r="K180">
        <f t="shared" si="9"/>
        <v>0</v>
      </c>
      <c r="L180">
        <f t="shared" si="9"/>
        <v>0</v>
      </c>
      <c r="M180">
        <f t="shared" si="9"/>
        <v>0</v>
      </c>
      <c r="N180">
        <f t="shared" si="9"/>
        <v>1</v>
      </c>
      <c r="O180">
        <f t="shared" si="9"/>
        <v>0</v>
      </c>
      <c r="P180">
        <f t="shared" si="9"/>
        <v>0</v>
      </c>
      <c r="Q180" t="str">
        <f t="shared" si="8"/>
        <v>Baez, Javier - $13</v>
      </c>
    </row>
    <row r="181" spans="1:17" x14ac:dyDescent="0.35">
      <c r="A181">
        <v>4</v>
      </c>
      <c r="B181" t="s">
        <v>316</v>
      </c>
      <c r="C181" t="s">
        <v>286</v>
      </c>
      <c r="D181">
        <v>12</v>
      </c>
      <c r="E181">
        <v>3.1</v>
      </c>
      <c r="F181">
        <v>2.56</v>
      </c>
      <c r="G181">
        <v>2.9</v>
      </c>
      <c r="H181">
        <v>0.2</v>
      </c>
      <c r="I181" s="3">
        <v>0</v>
      </c>
      <c r="J181">
        <f t="shared" si="9"/>
        <v>0</v>
      </c>
      <c r="K181">
        <f t="shared" si="9"/>
        <v>0</v>
      </c>
      <c r="L181">
        <f t="shared" si="9"/>
        <v>0</v>
      </c>
      <c r="M181">
        <f t="shared" si="9"/>
        <v>1</v>
      </c>
      <c r="N181">
        <f t="shared" si="9"/>
        <v>0</v>
      </c>
      <c r="O181">
        <f t="shared" si="9"/>
        <v>0</v>
      </c>
      <c r="P181">
        <f t="shared" si="9"/>
        <v>0</v>
      </c>
      <c r="Q181" t="str">
        <f t="shared" si="8"/>
        <v>Panik, Joe - $12</v>
      </c>
    </row>
    <row r="182" spans="1:17" x14ac:dyDescent="0.35">
      <c r="A182">
        <v>7</v>
      </c>
      <c r="B182" t="s">
        <v>90</v>
      </c>
      <c r="C182" t="s">
        <v>273</v>
      </c>
      <c r="D182">
        <v>12</v>
      </c>
      <c r="E182">
        <v>4.5</v>
      </c>
      <c r="F182">
        <v>3.73</v>
      </c>
      <c r="G182">
        <v>5.9</v>
      </c>
      <c r="H182">
        <v>-0.8</v>
      </c>
      <c r="I182" s="3">
        <v>1</v>
      </c>
      <c r="J182">
        <f t="shared" si="9"/>
        <v>0</v>
      </c>
      <c r="K182">
        <f t="shared" si="9"/>
        <v>0</v>
      </c>
      <c r="L182">
        <f t="shared" si="9"/>
        <v>0</v>
      </c>
      <c r="M182">
        <f t="shared" si="9"/>
        <v>0</v>
      </c>
      <c r="N182">
        <f t="shared" si="9"/>
        <v>0</v>
      </c>
      <c r="O182">
        <f t="shared" si="9"/>
        <v>0</v>
      </c>
      <c r="P182">
        <f t="shared" si="9"/>
        <v>1</v>
      </c>
      <c r="Q182" t="str">
        <f t="shared" si="8"/>
        <v>Hicks, Aaron - $12</v>
      </c>
    </row>
    <row r="183" spans="1:17" x14ac:dyDescent="0.35">
      <c r="A183">
        <v>7</v>
      </c>
      <c r="B183" t="s">
        <v>205</v>
      </c>
      <c r="C183" t="s">
        <v>261</v>
      </c>
      <c r="D183">
        <v>12</v>
      </c>
      <c r="E183">
        <v>2.9</v>
      </c>
      <c r="F183">
        <v>2.38</v>
      </c>
      <c r="G183">
        <v>3.5</v>
      </c>
      <c r="H183">
        <v>1.8</v>
      </c>
      <c r="I183" s="3">
        <v>0</v>
      </c>
      <c r="J183">
        <f t="shared" si="9"/>
        <v>0</v>
      </c>
      <c r="K183">
        <f t="shared" si="9"/>
        <v>0</v>
      </c>
      <c r="L183">
        <f t="shared" si="9"/>
        <v>0</v>
      </c>
      <c r="M183">
        <f t="shared" si="9"/>
        <v>0</v>
      </c>
      <c r="N183">
        <f t="shared" si="9"/>
        <v>0</v>
      </c>
      <c r="O183">
        <f t="shared" si="9"/>
        <v>0</v>
      </c>
      <c r="P183">
        <f t="shared" si="9"/>
        <v>1</v>
      </c>
      <c r="Q183" t="str">
        <f t="shared" si="8"/>
        <v>Dyson, Jarrod - $12</v>
      </c>
    </row>
    <row r="184" spans="1:17" x14ac:dyDescent="0.35">
      <c r="A184">
        <v>7</v>
      </c>
      <c r="B184" t="s">
        <v>307</v>
      </c>
      <c r="C184" t="s">
        <v>263</v>
      </c>
      <c r="D184">
        <v>12</v>
      </c>
      <c r="E184">
        <v>2.9</v>
      </c>
      <c r="F184">
        <v>2.38</v>
      </c>
      <c r="G184">
        <v>2.2999999999999998</v>
      </c>
      <c r="H184">
        <v>0</v>
      </c>
      <c r="I184" s="3">
        <v>0</v>
      </c>
      <c r="J184">
        <f t="shared" si="9"/>
        <v>0</v>
      </c>
      <c r="K184">
        <f t="shared" si="9"/>
        <v>0</v>
      </c>
      <c r="L184">
        <f t="shared" si="9"/>
        <v>0</v>
      </c>
      <c r="M184">
        <f t="shared" si="9"/>
        <v>0</v>
      </c>
      <c r="N184">
        <f t="shared" si="9"/>
        <v>0</v>
      </c>
      <c r="O184">
        <f t="shared" si="9"/>
        <v>0</v>
      </c>
      <c r="P184">
        <f t="shared" si="9"/>
        <v>1</v>
      </c>
      <c r="Q184" t="str">
        <f t="shared" si="8"/>
        <v>Schebler, Scott - $12</v>
      </c>
    </row>
    <row r="185" spans="1:17" x14ac:dyDescent="0.35">
      <c r="A185">
        <v>5</v>
      </c>
      <c r="B185" t="s">
        <v>323</v>
      </c>
      <c r="C185" t="s">
        <v>268</v>
      </c>
      <c r="D185">
        <v>12</v>
      </c>
      <c r="E185">
        <v>2.9</v>
      </c>
      <c r="F185">
        <v>2.4500000000000002</v>
      </c>
      <c r="G185">
        <v>3.7</v>
      </c>
      <c r="H185">
        <v>0</v>
      </c>
      <c r="I185" s="3">
        <v>0</v>
      </c>
      <c r="J185">
        <f t="shared" si="9"/>
        <v>0</v>
      </c>
      <c r="K185">
        <f t="shared" si="9"/>
        <v>0</v>
      </c>
      <c r="L185">
        <f t="shared" si="9"/>
        <v>0</v>
      </c>
      <c r="M185">
        <f t="shared" si="9"/>
        <v>0</v>
      </c>
      <c r="N185">
        <f t="shared" si="9"/>
        <v>1</v>
      </c>
      <c r="O185">
        <f t="shared" si="9"/>
        <v>0</v>
      </c>
      <c r="P185">
        <f t="shared" si="9"/>
        <v>0</v>
      </c>
      <c r="Q185" t="str">
        <f t="shared" si="8"/>
        <v>Franco, Maikel - $12</v>
      </c>
    </row>
    <row r="186" spans="1:17" x14ac:dyDescent="0.35">
      <c r="A186">
        <v>4</v>
      </c>
      <c r="B186" t="s">
        <v>317</v>
      </c>
      <c r="C186" t="s">
        <v>263</v>
      </c>
      <c r="D186">
        <v>12</v>
      </c>
      <c r="E186">
        <v>2.6</v>
      </c>
      <c r="F186">
        <v>2.13</v>
      </c>
      <c r="G186">
        <v>2.7</v>
      </c>
      <c r="H186">
        <v>1.2</v>
      </c>
      <c r="I186" s="3">
        <v>0</v>
      </c>
      <c r="J186">
        <f t="shared" si="9"/>
        <v>0</v>
      </c>
      <c r="K186">
        <f t="shared" si="9"/>
        <v>0</v>
      </c>
      <c r="L186">
        <f t="shared" si="9"/>
        <v>0</v>
      </c>
      <c r="M186">
        <f t="shared" si="9"/>
        <v>1</v>
      </c>
      <c r="N186">
        <f t="shared" si="9"/>
        <v>0</v>
      </c>
      <c r="O186">
        <f t="shared" si="9"/>
        <v>0</v>
      </c>
      <c r="P186">
        <f t="shared" si="9"/>
        <v>0</v>
      </c>
      <c r="Q186" t="str">
        <f t="shared" si="8"/>
        <v>Peraza, Jose - $12</v>
      </c>
    </row>
    <row r="187" spans="1:17" x14ac:dyDescent="0.35">
      <c r="A187">
        <v>3</v>
      </c>
      <c r="B187" t="s">
        <v>38</v>
      </c>
      <c r="C187" t="s">
        <v>271</v>
      </c>
      <c r="D187">
        <v>12</v>
      </c>
      <c r="E187">
        <v>2.8</v>
      </c>
      <c r="F187">
        <v>2.33</v>
      </c>
      <c r="G187">
        <v>2.4</v>
      </c>
      <c r="H187">
        <v>0</v>
      </c>
      <c r="I187" s="3">
        <v>0</v>
      </c>
      <c r="J187">
        <f t="shared" si="9"/>
        <v>0</v>
      </c>
      <c r="K187">
        <f t="shared" si="9"/>
        <v>0</v>
      </c>
      <c r="L187">
        <f t="shared" si="9"/>
        <v>1</v>
      </c>
      <c r="M187">
        <f t="shared" si="9"/>
        <v>0</v>
      </c>
      <c r="N187">
        <f t="shared" si="9"/>
        <v>0</v>
      </c>
      <c r="O187">
        <f t="shared" si="9"/>
        <v>0</v>
      </c>
      <c r="P187">
        <f t="shared" si="9"/>
        <v>0</v>
      </c>
      <c r="Q187" t="str">
        <f t="shared" si="8"/>
        <v>Alonso, Yonder - $12</v>
      </c>
    </row>
    <row r="188" spans="1:17" x14ac:dyDescent="0.35">
      <c r="A188">
        <v>4</v>
      </c>
      <c r="B188" t="s">
        <v>32</v>
      </c>
      <c r="C188" t="s">
        <v>271</v>
      </c>
      <c r="D188">
        <v>12</v>
      </c>
      <c r="E188">
        <v>2.6</v>
      </c>
      <c r="F188">
        <v>2.13</v>
      </c>
      <c r="G188">
        <v>2.2999999999999998</v>
      </c>
      <c r="H188">
        <v>1</v>
      </c>
      <c r="I188" s="3">
        <v>0</v>
      </c>
      <c r="J188">
        <f t="shared" si="9"/>
        <v>0</v>
      </c>
      <c r="K188">
        <f t="shared" si="9"/>
        <v>0</v>
      </c>
      <c r="L188">
        <f t="shared" si="9"/>
        <v>0</v>
      </c>
      <c r="M188">
        <f t="shared" si="9"/>
        <v>1</v>
      </c>
      <c r="N188">
        <f t="shared" si="9"/>
        <v>0</v>
      </c>
      <c r="O188">
        <f t="shared" si="9"/>
        <v>0</v>
      </c>
      <c r="P188">
        <f t="shared" si="9"/>
        <v>0</v>
      </c>
      <c r="Q188" t="str">
        <f t="shared" si="8"/>
        <v>Lowrie, Jed - $12</v>
      </c>
    </row>
    <row r="189" spans="1:17" x14ac:dyDescent="0.35">
      <c r="A189">
        <v>7</v>
      </c>
      <c r="B189" t="s">
        <v>215</v>
      </c>
      <c r="C189" t="s">
        <v>279</v>
      </c>
      <c r="D189">
        <v>12</v>
      </c>
      <c r="E189">
        <v>2.4</v>
      </c>
      <c r="F189">
        <v>2.0299999999999998</v>
      </c>
      <c r="G189">
        <v>4.0999999999999996</v>
      </c>
      <c r="H189">
        <v>5.8</v>
      </c>
      <c r="I189" s="3">
        <v>0</v>
      </c>
      <c r="J189">
        <f t="shared" si="9"/>
        <v>0</v>
      </c>
      <c r="K189">
        <f t="shared" si="9"/>
        <v>0</v>
      </c>
      <c r="L189">
        <f t="shared" si="9"/>
        <v>0</v>
      </c>
      <c r="M189">
        <f t="shared" si="9"/>
        <v>0</v>
      </c>
      <c r="N189">
        <f t="shared" si="9"/>
        <v>0</v>
      </c>
      <c r="O189">
        <f t="shared" si="9"/>
        <v>0</v>
      </c>
      <c r="P189">
        <f t="shared" si="9"/>
        <v>1</v>
      </c>
      <c r="Q189" t="str">
        <f t="shared" si="8"/>
        <v>Reddick, Josh - $12</v>
      </c>
    </row>
    <row r="190" spans="1:17" x14ac:dyDescent="0.35">
      <c r="A190">
        <v>4</v>
      </c>
      <c r="B190" t="s">
        <v>305</v>
      </c>
      <c r="C190" t="s">
        <v>263</v>
      </c>
      <c r="D190">
        <v>12</v>
      </c>
      <c r="E190">
        <v>2.6</v>
      </c>
      <c r="F190">
        <v>2.13</v>
      </c>
      <c r="G190">
        <v>2.2999999999999998</v>
      </c>
      <c r="H190">
        <v>-0.8</v>
      </c>
      <c r="I190" s="3">
        <v>0</v>
      </c>
      <c r="J190">
        <f t="shared" si="9"/>
        <v>0</v>
      </c>
      <c r="K190">
        <f t="shared" si="9"/>
        <v>0</v>
      </c>
      <c r="L190">
        <f t="shared" si="9"/>
        <v>0</v>
      </c>
      <c r="M190">
        <f t="shared" si="9"/>
        <v>1</v>
      </c>
      <c r="N190">
        <f t="shared" si="9"/>
        <v>0</v>
      </c>
      <c r="O190">
        <f t="shared" si="9"/>
        <v>0</v>
      </c>
      <c r="P190">
        <f t="shared" si="9"/>
        <v>0</v>
      </c>
      <c r="Q190" t="str">
        <f t="shared" si="8"/>
        <v>Gennett, Scooter - $12</v>
      </c>
    </row>
    <row r="191" spans="1:17" x14ac:dyDescent="0.35">
      <c r="A191">
        <v>7</v>
      </c>
      <c r="B191" t="s">
        <v>191</v>
      </c>
      <c r="C191" t="s">
        <v>264</v>
      </c>
      <c r="D191">
        <v>12</v>
      </c>
      <c r="E191">
        <v>2.4</v>
      </c>
      <c r="F191">
        <v>1.97</v>
      </c>
      <c r="G191">
        <v>2.1</v>
      </c>
      <c r="H191">
        <v>1</v>
      </c>
      <c r="I191" s="3">
        <v>0</v>
      </c>
      <c r="J191">
        <f t="shared" si="9"/>
        <v>0</v>
      </c>
      <c r="K191">
        <f t="shared" si="9"/>
        <v>0</v>
      </c>
      <c r="L191">
        <f t="shared" si="9"/>
        <v>0</v>
      </c>
      <c r="M191">
        <f t="shared" si="9"/>
        <v>0</v>
      </c>
      <c r="N191">
        <f t="shared" si="9"/>
        <v>0</v>
      </c>
      <c r="O191">
        <f t="shared" si="9"/>
        <v>0</v>
      </c>
      <c r="P191">
        <f t="shared" si="9"/>
        <v>1</v>
      </c>
      <c r="Q191" t="str">
        <f t="shared" si="8"/>
        <v>Markakis, Nick - $12</v>
      </c>
    </row>
    <row r="192" spans="1:17" x14ac:dyDescent="0.35">
      <c r="A192">
        <v>7</v>
      </c>
      <c r="B192" t="s">
        <v>343</v>
      </c>
      <c r="C192" t="s">
        <v>277</v>
      </c>
      <c r="D192">
        <v>12</v>
      </c>
      <c r="E192">
        <v>2.1</v>
      </c>
      <c r="F192">
        <v>1.77</v>
      </c>
      <c r="G192">
        <v>3</v>
      </c>
      <c r="H192">
        <v>9.1999999999999993</v>
      </c>
      <c r="I192" s="3">
        <v>0</v>
      </c>
      <c r="J192">
        <f t="shared" si="9"/>
        <v>0</v>
      </c>
      <c r="K192">
        <f t="shared" si="9"/>
        <v>0</v>
      </c>
      <c r="L192">
        <f t="shared" si="9"/>
        <v>0</v>
      </c>
      <c r="M192">
        <f t="shared" si="9"/>
        <v>0</v>
      </c>
      <c r="N192">
        <f t="shared" si="9"/>
        <v>0</v>
      </c>
      <c r="O192">
        <f t="shared" si="9"/>
        <v>0</v>
      </c>
      <c r="P192">
        <f t="shared" si="9"/>
        <v>1</v>
      </c>
      <c r="Q192" t="str">
        <f t="shared" si="8"/>
        <v>Gonzalez, Carlos - $12</v>
      </c>
    </row>
    <row r="193" spans="1:17" x14ac:dyDescent="0.35">
      <c r="A193">
        <v>2</v>
      </c>
      <c r="B193" t="s">
        <v>332</v>
      </c>
      <c r="C193" t="s">
        <v>311</v>
      </c>
      <c r="D193">
        <v>12</v>
      </c>
      <c r="E193">
        <v>3.9</v>
      </c>
      <c r="F193">
        <v>3.26</v>
      </c>
      <c r="G193">
        <v>4.2</v>
      </c>
      <c r="H193">
        <v>12</v>
      </c>
      <c r="I193" s="3">
        <v>0</v>
      </c>
      <c r="J193">
        <f t="shared" si="9"/>
        <v>0</v>
      </c>
      <c r="K193">
        <f t="shared" si="9"/>
        <v>1</v>
      </c>
      <c r="L193">
        <f t="shared" si="9"/>
        <v>0</v>
      </c>
      <c r="M193">
        <f t="shared" si="9"/>
        <v>0</v>
      </c>
      <c r="N193">
        <f t="shared" si="9"/>
        <v>0</v>
      </c>
      <c r="O193">
        <f t="shared" si="9"/>
        <v>0</v>
      </c>
      <c r="P193">
        <f t="shared" si="9"/>
        <v>0</v>
      </c>
      <c r="Q193" t="str">
        <f t="shared" si="8"/>
        <v>Avila, Alex - $12</v>
      </c>
    </row>
    <row r="194" spans="1:17" x14ac:dyDescent="0.35">
      <c r="A194">
        <v>4</v>
      </c>
      <c r="B194" t="s">
        <v>202</v>
      </c>
      <c r="C194" t="s">
        <v>272</v>
      </c>
      <c r="D194">
        <v>12</v>
      </c>
      <c r="E194">
        <v>2.2000000000000002</v>
      </c>
      <c r="F194">
        <v>1.82</v>
      </c>
      <c r="G194">
        <v>1.4</v>
      </c>
      <c r="H194">
        <v>2.5</v>
      </c>
      <c r="I194" s="3">
        <v>0</v>
      </c>
      <c r="J194">
        <f t="shared" si="9"/>
        <v>0</v>
      </c>
      <c r="K194">
        <f t="shared" si="9"/>
        <v>0</v>
      </c>
      <c r="L194">
        <f t="shared" si="9"/>
        <v>0</v>
      </c>
      <c r="M194">
        <f t="shared" si="9"/>
        <v>1</v>
      </c>
      <c r="N194">
        <f t="shared" si="9"/>
        <v>0</v>
      </c>
      <c r="O194">
        <f t="shared" si="9"/>
        <v>0</v>
      </c>
      <c r="P194">
        <f t="shared" si="9"/>
        <v>0</v>
      </c>
      <c r="Q194" t="str">
        <f t="shared" si="8"/>
        <v>Drury, Brandon - $12</v>
      </c>
    </row>
    <row r="195" spans="1:17" x14ac:dyDescent="0.35">
      <c r="A195">
        <v>3</v>
      </c>
      <c r="B195" t="s">
        <v>228</v>
      </c>
      <c r="C195" t="s">
        <v>279</v>
      </c>
      <c r="D195">
        <v>12</v>
      </c>
      <c r="E195">
        <v>2.4</v>
      </c>
      <c r="F195">
        <v>2.02</v>
      </c>
      <c r="G195">
        <v>3.9</v>
      </c>
      <c r="H195">
        <v>4.5</v>
      </c>
      <c r="I195" s="3">
        <v>0</v>
      </c>
      <c r="J195">
        <f t="shared" si="9"/>
        <v>0</v>
      </c>
      <c r="K195">
        <f t="shared" si="9"/>
        <v>0</v>
      </c>
      <c r="L195">
        <f t="shared" si="9"/>
        <v>1</v>
      </c>
      <c r="M195">
        <f t="shared" si="9"/>
        <v>0</v>
      </c>
      <c r="N195">
        <f t="shared" si="9"/>
        <v>0</v>
      </c>
      <c r="O195">
        <f t="shared" si="9"/>
        <v>0</v>
      </c>
      <c r="P195">
        <f t="shared" si="9"/>
        <v>0</v>
      </c>
      <c r="Q195" t="str">
        <f t="shared" ref="Q195:Q200" si="10">B195&amp;" - $"&amp;D195</f>
        <v>Gurriel, Yulieski - $12</v>
      </c>
    </row>
    <row r="196" spans="1:17" x14ac:dyDescent="0.35">
      <c r="A196">
        <v>2</v>
      </c>
      <c r="B196" t="s">
        <v>60</v>
      </c>
      <c r="C196" t="s">
        <v>255</v>
      </c>
      <c r="D196">
        <v>12</v>
      </c>
      <c r="E196">
        <v>3.3</v>
      </c>
      <c r="F196">
        <v>2.74</v>
      </c>
      <c r="G196">
        <v>4.2</v>
      </c>
      <c r="H196">
        <v>0.2</v>
      </c>
      <c r="I196" s="3">
        <v>0</v>
      </c>
      <c r="J196">
        <f t="shared" si="9"/>
        <v>0</v>
      </c>
      <c r="K196">
        <f t="shared" si="9"/>
        <v>1</v>
      </c>
      <c r="L196">
        <f t="shared" si="9"/>
        <v>0</v>
      </c>
      <c r="M196">
        <f t="shared" si="9"/>
        <v>0</v>
      </c>
      <c r="N196">
        <f t="shared" si="9"/>
        <v>0</v>
      </c>
      <c r="O196">
        <f t="shared" si="9"/>
        <v>0</v>
      </c>
      <c r="P196">
        <f t="shared" si="9"/>
        <v>0</v>
      </c>
      <c r="Q196" t="str">
        <f t="shared" si="10"/>
        <v>Bandy, Jett - $12</v>
      </c>
    </row>
    <row r="197" spans="1:17" x14ac:dyDescent="0.35">
      <c r="A197">
        <v>7</v>
      </c>
      <c r="B197" t="s">
        <v>137</v>
      </c>
      <c r="C197" t="s">
        <v>308</v>
      </c>
      <c r="D197">
        <v>12</v>
      </c>
      <c r="E197">
        <v>2.2000000000000002</v>
      </c>
      <c r="F197">
        <v>1.84</v>
      </c>
      <c r="G197">
        <v>2.2999999999999998</v>
      </c>
      <c r="H197">
        <v>3</v>
      </c>
      <c r="I197" s="3">
        <v>0</v>
      </c>
      <c r="J197">
        <f t="shared" si="9"/>
        <v>0</v>
      </c>
      <c r="K197">
        <f t="shared" si="9"/>
        <v>0</v>
      </c>
      <c r="L197">
        <f t="shared" si="9"/>
        <v>0</v>
      </c>
      <c r="M197">
        <f t="shared" si="9"/>
        <v>0</v>
      </c>
      <c r="N197">
        <f t="shared" si="9"/>
        <v>0</v>
      </c>
      <c r="O197">
        <f t="shared" si="9"/>
        <v>0</v>
      </c>
      <c r="P197">
        <f t="shared" si="9"/>
        <v>1</v>
      </c>
      <c r="Q197" t="str">
        <f t="shared" si="10"/>
        <v>Polanco, Gregory - $12</v>
      </c>
    </row>
    <row r="198" spans="1:17" x14ac:dyDescent="0.35">
      <c r="A198">
        <v>3</v>
      </c>
      <c r="B198" t="s">
        <v>148</v>
      </c>
      <c r="C198" t="s">
        <v>258</v>
      </c>
      <c r="D198">
        <v>12</v>
      </c>
      <c r="E198">
        <v>2.1</v>
      </c>
      <c r="F198">
        <v>1.76</v>
      </c>
      <c r="G198">
        <v>2.8</v>
      </c>
      <c r="H198">
        <v>8.5</v>
      </c>
      <c r="I198" s="3">
        <v>0</v>
      </c>
      <c r="J198">
        <f t="shared" si="9"/>
        <v>0</v>
      </c>
      <c r="K198">
        <f t="shared" si="9"/>
        <v>0</v>
      </c>
      <c r="L198">
        <f t="shared" si="9"/>
        <v>1</v>
      </c>
      <c r="M198">
        <f t="shared" si="9"/>
        <v>0</v>
      </c>
      <c r="N198">
        <f t="shared" si="9"/>
        <v>0</v>
      </c>
      <c r="O198">
        <f t="shared" si="9"/>
        <v>0</v>
      </c>
      <c r="P198">
        <f t="shared" si="9"/>
        <v>0</v>
      </c>
      <c r="Q198" t="str">
        <f t="shared" si="10"/>
        <v>Bour, Justin - $12</v>
      </c>
    </row>
    <row r="199" spans="1:17" x14ac:dyDescent="0.35">
      <c r="A199">
        <v>5</v>
      </c>
      <c r="B199" t="s">
        <v>73</v>
      </c>
      <c r="C199" t="s">
        <v>282</v>
      </c>
      <c r="D199">
        <v>12</v>
      </c>
      <c r="E199">
        <v>2.8</v>
      </c>
      <c r="F199">
        <v>2.31</v>
      </c>
      <c r="G199">
        <v>3.4</v>
      </c>
      <c r="H199">
        <v>14.5</v>
      </c>
      <c r="I199" s="3">
        <v>0</v>
      </c>
      <c r="J199">
        <f t="shared" si="9"/>
        <v>0</v>
      </c>
      <c r="K199">
        <f t="shared" si="9"/>
        <v>0</v>
      </c>
      <c r="L199">
        <f t="shared" si="9"/>
        <v>0</v>
      </c>
      <c r="M199">
        <f t="shared" ref="K199:P200" si="11">IFERROR(IF(SEARCH(M$1,$A199)=1,1,0),0)</f>
        <v>0</v>
      </c>
      <c r="N199">
        <f t="shared" si="11"/>
        <v>1</v>
      </c>
      <c r="O199">
        <f t="shared" si="11"/>
        <v>0</v>
      </c>
      <c r="P199">
        <f t="shared" si="11"/>
        <v>0</v>
      </c>
      <c r="Q199" t="str">
        <f t="shared" si="10"/>
        <v>Frazier, Todd - $12</v>
      </c>
    </row>
    <row r="200" spans="1:17" x14ac:dyDescent="0.35">
      <c r="A200">
        <v>7</v>
      </c>
      <c r="B200" t="s">
        <v>40</v>
      </c>
      <c r="C200" t="s">
        <v>275</v>
      </c>
      <c r="D200">
        <v>12</v>
      </c>
      <c r="E200">
        <v>1.7</v>
      </c>
      <c r="F200">
        <v>1.39</v>
      </c>
      <c r="G200">
        <v>0.7</v>
      </c>
      <c r="H200">
        <v>1.8</v>
      </c>
      <c r="I200" s="3">
        <v>0</v>
      </c>
      <c r="J200">
        <f t="shared" ref="J200" si="12">IFERROR(IF(SEARCH(J$1,$A200)=1,1,0),0)</f>
        <v>0</v>
      </c>
      <c r="K200">
        <f t="shared" si="11"/>
        <v>0</v>
      </c>
      <c r="L200">
        <f t="shared" si="11"/>
        <v>0</v>
      </c>
      <c r="M200">
        <f t="shared" si="11"/>
        <v>0</v>
      </c>
      <c r="N200">
        <f t="shared" si="11"/>
        <v>0</v>
      </c>
      <c r="O200">
        <f t="shared" si="11"/>
        <v>0</v>
      </c>
      <c r="P200">
        <f t="shared" si="11"/>
        <v>1</v>
      </c>
      <c r="Q200" t="str">
        <f t="shared" si="10"/>
        <v>Calhoun, Kole - $12</v>
      </c>
    </row>
  </sheetData>
  <autoFilter ref="A1:Q20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Main</vt:lpstr>
      <vt:lpstr>OptimalLineup</vt:lpstr>
      <vt:lpstr>Data</vt:lpstr>
      <vt:lpstr>Solver</vt:lpstr>
      <vt:lpstr>allPositions</vt:lpstr>
      <vt:lpstr>currentSalary</vt:lpstr>
      <vt:lpstr>Data!ExternalData_144</vt:lpstr>
      <vt:lpstr>Data!ExternalData_145</vt:lpstr>
      <vt:lpstr>Data!ExternalData_146</vt:lpstr>
      <vt:lpstr>Data!ExternalData_147</vt:lpstr>
      <vt:lpstr>Infielders</vt:lpstr>
      <vt:lpstr>maxSalary</vt:lpstr>
      <vt:lpstr>Outfielders</vt:lpstr>
      <vt:lpstr>Pitchers</vt:lpstr>
      <vt:lpstr>Points</vt:lpstr>
      <vt:lpstr>Selected</vt:lpstr>
      <vt:lpstr>totalPositions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Louis Sherman</dc:creator>
  <cp:lastModifiedBy>Louis Sherman</cp:lastModifiedBy>
  <dcterms:created xsi:type="dcterms:W3CDTF">2017-03-20T18:54:31Z</dcterms:created>
  <dcterms:modified xsi:type="dcterms:W3CDTF">2017-04-26T18:57:38Z</dcterms:modified>
</cp:coreProperties>
</file>